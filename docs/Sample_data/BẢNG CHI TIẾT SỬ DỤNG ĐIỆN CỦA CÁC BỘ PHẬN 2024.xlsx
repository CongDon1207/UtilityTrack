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UtilityTrack\docs\Sample_data\"/>
    </mc:Choice>
  </mc:AlternateContent>
  <xr:revisionPtr revIDLastSave="0" documentId="13_ncr:1_{59F42D42-2B70-4027-8EEE-40E1CF5CDAD2}" xr6:coauthVersionLast="47" xr6:coauthVersionMax="47" xr10:uidLastSave="{00000000-0000-0000-0000-000000000000}"/>
  <bookViews>
    <workbookView xWindow="-108" yWindow="-108" windowWidth="23256" windowHeight="12456" xr2:uid="{22A9D72A-4F58-4D2B-ADCD-8426D9AC4F4E}"/>
  </bookViews>
  <sheets>
    <sheet name="2025" sheetId="2" r:id="rId1"/>
    <sheet name="2024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4" i="2" l="1"/>
  <c r="H53" i="2" s="1"/>
  <c r="E31" i="2"/>
  <c r="D31" i="2"/>
  <c r="D47" i="2"/>
  <c r="D48" i="2" s="1"/>
  <c r="H37" i="2" s="1"/>
  <c r="C16" i="2"/>
  <c r="E15" i="2"/>
  <c r="D16" i="2"/>
  <c r="H5" i="2" s="1"/>
  <c r="C64" i="2"/>
  <c r="E63" i="2"/>
  <c r="J37" i="2"/>
  <c r="J32" i="2"/>
  <c r="E46" i="2"/>
  <c r="G46" i="2"/>
  <c r="E30" i="2"/>
  <c r="G30" i="2"/>
  <c r="E14" i="2"/>
  <c r="G14" i="2"/>
  <c r="E62" i="2"/>
  <c r="G45" i="2"/>
  <c r="G29" i="2"/>
  <c r="G13" i="2"/>
  <c r="E61" i="2"/>
  <c r="E45" i="2"/>
  <c r="E29" i="2"/>
  <c r="E13" i="2"/>
  <c r="E47" i="2" l="1"/>
  <c r="J41" i="2"/>
  <c r="E60" i="2"/>
  <c r="G44" i="2"/>
  <c r="E44" i="2"/>
  <c r="G28" i="2"/>
  <c r="E28" i="2"/>
  <c r="G12" i="2"/>
  <c r="E12" i="2"/>
  <c r="G11" i="2"/>
  <c r="E59" i="2"/>
  <c r="E43" i="2"/>
  <c r="G43" i="2"/>
  <c r="E27" i="2"/>
  <c r="G27" i="2"/>
  <c r="E11" i="2"/>
  <c r="D23" i="2"/>
  <c r="C37" i="2"/>
  <c r="C48" i="2" s="1"/>
  <c r="C23" i="2"/>
  <c r="C32" i="2" s="1"/>
  <c r="G42" i="2"/>
  <c r="G10" i="2"/>
  <c r="G26" i="2"/>
  <c r="E58" i="2"/>
  <c r="E42" i="2"/>
  <c r="E26" i="2"/>
  <c r="E10" i="2"/>
  <c r="G9" i="2"/>
  <c r="G25" i="2"/>
  <c r="G41" i="2"/>
  <c r="E57" i="2"/>
  <c r="E41" i="2"/>
  <c r="G40" i="2"/>
  <c r="E40" i="2"/>
  <c r="E56" i="2"/>
  <c r="G24" i="2"/>
  <c r="E25" i="2"/>
  <c r="G8" i="2"/>
  <c r="E8" i="2"/>
  <c r="E39" i="2"/>
  <c r="E7" i="2"/>
  <c r="E55" i="2"/>
  <c r="F7" i="2"/>
  <c r="G7" i="2" s="1"/>
  <c r="F23" i="2"/>
  <c r="F39" i="2"/>
  <c r="G39" i="2" s="1"/>
  <c r="F38" i="2"/>
  <c r="G38" i="2" s="1"/>
  <c r="F22" i="2"/>
  <c r="G22" i="2" s="1"/>
  <c r="F6" i="2"/>
  <c r="G6" i="2" s="1"/>
  <c r="E6" i="2"/>
  <c r="G37" i="2"/>
  <c r="G5" i="2"/>
  <c r="G21" i="2"/>
  <c r="E5" i="2"/>
  <c r="E53" i="2"/>
  <c r="E54" i="2"/>
  <c r="E22" i="2"/>
  <c r="E21" i="2"/>
  <c r="E37" i="2"/>
  <c r="E38" i="2"/>
  <c r="E9" i="2"/>
  <c r="D60" i="1"/>
  <c r="H56" i="1"/>
  <c r="D16" i="1"/>
  <c r="E16" i="1"/>
  <c r="D33" i="1"/>
  <c r="G33" i="1"/>
  <c r="D50" i="1"/>
  <c r="G50" i="1" s="1"/>
  <c r="D51" i="1"/>
  <c r="H39" i="1"/>
  <c r="C51" i="1"/>
  <c r="D32" i="1"/>
  <c r="E32" i="1"/>
  <c r="D29" i="1"/>
  <c r="D28" i="1"/>
  <c r="E29" i="1" s="1"/>
  <c r="E58" i="1"/>
  <c r="C34" i="1"/>
  <c r="C17" i="1"/>
  <c r="D17" i="1"/>
  <c r="H5" i="1"/>
  <c r="G49" i="1"/>
  <c r="G15" i="1"/>
  <c r="E59" i="1"/>
  <c r="E49" i="1"/>
  <c r="E15" i="1"/>
  <c r="G16" i="1"/>
  <c r="G32" i="1"/>
  <c r="E33" i="1"/>
  <c r="G43" i="1"/>
  <c r="G45" i="1"/>
  <c r="G27" i="1"/>
  <c r="G7" i="1"/>
  <c r="G8" i="1"/>
  <c r="G9" i="1"/>
  <c r="G10" i="1"/>
  <c r="G11" i="1"/>
  <c r="G24" i="1"/>
  <c r="G25" i="1"/>
  <c r="G26" i="1"/>
  <c r="G28" i="1"/>
  <c r="G41" i="1"/>
  <c r="G42" i="1"/>
  <c r="G44" i="1"/>
  <c r="G46" i="1"/>
  <c r="G12" i="1"/>
  <c r="G29" i="1"/>
  <c r="G31" i="1"/>
  <c r="G14" i="1"/>
  <c r="G48" i="1"/>
  <c r="G47" i="1"/>
  <c r="G13" i="1"/>
  <c r="G30" i="1"/>
  <c r="E48" i="1"/>
  <c r="E57" i="1"/>
  <c r="E31" i="1"/>
  <c r="E14" i="1"/>
  <c r="C60" i="1"/>
  <c r="E47" i="1"/>
  <c r="E46" i="1"/>
  <c r="E45" i="1"/>
  <c r="E44" i="1"/>
  <c r="E43" i="1"/>
  <c r="E42" i="1"/>
  <c r="E41" i="1"/>
  <c r="E40" i="1"/>
  <c r="E27" i="1"/>
  <c r="E30" i="1"/>
  <c r="E26" i="1"/>
  <c r="E25" i="1"/>
  <c r="E24" i="1"/>
  <c r="E23" i="1"/>
  <c r="E7" i="1"/>
  <c r="E8" i="1"/>
  <c r="E9" i="1"/>
  <c r="E10" i="1"/>
  <c r="E11" i="1"/>
  <c r="E12" i="1"/>
  <c r="E13" i="1"/>
  <c r="E6" i="1"/>
  <c r="H62" i="1" l="1"/>
  <c r="H64" i="1"/>
  <c r="D34" i="1"/>
  <c r="H22" i="1" s="1"/>
  <c r="H68" i="1" s="1"/>
  <c r="E28" i="1"/>
  <c r="E50" i="1"/>
  <c r="D32" i="2"/>
  <c r="E23" i="2"/>
  <c r="G23" i="2"/>
  <c r="E24" i="2"/>
  <c r="H66" i="2" l="1"/>
  <c r="H68" i="2"/>
  <c r="H21" i="2"/>
  <c r="H72" i="2" s="1"/>
</calcChain>
</file>

<file path=xl/sharedStrings.xml><?xml version="1.0" encoding="utf-8"?>
<sst xmlns="http://schemas.openxmlformats.org/spreadsheetml/2006/main" count="144" uniqueCount="32">
  <si>
    <t xml:space="preserve">BẢNG CHI TIẾT SỬ DỤNG ĐIỆN CỦA </t>
  </si>
  <si>
    <t>BỘ PHẬN</t>
  </si>
  <si>
    <t>THÁNG</t>
  </si>
  <si>
    <t xml:space="preserve">SỐ ĐIỆN </t>
  </si>
  <si>
    <t>SỬ DỤNG(KW)</t>
  </si>
  <si>
    <t>SỐ TIỀN</t>
  </si>
  <si>
    <t xml:space="preserve">CHÊNH LỆCH SO </t>
  </si>
  <si>
    <t>VỚI THÁNG TRƯỚC</t>
  </si>
  <si>
    <t>SỐ ĐÔI</t>
  </si>
  <si>
    <t>THÀNH PHẨM</t>
  </si>
  <si>
    <t>SỐ TIỀN/1 ĐÔI</t>
  </si>
  <si>
    <t>(MAY,</t>
  </si>
  <si>
    <t>MAY ĐIỆN TỬ,</t>
  </si>
  <si>
    <t>VĂN PHÒNG,</t>
  </si>
  <si>
    <t>NHÀ BẾP,</t>
  </si>
  <si>
    <t>KHO)</t>
  </si>
  <si>
    <t>TỔNG</t>
  </si>
  <si>
    <t>(CẮT,</t>
  </si>
  <si>
    <t>CHUẨN BỊ,</t>
  </si>
  <si>
    <t>UV,</t>
  </si>
  <si>
    <t>TECH CŨ)</t>
  </si>
  <si>
    <t>LASTING</t>
  </si>
  <si>
    <t>PHÒNG TECH MỚI</t>
  </si>
  <si>
    <t>(VND)</t>
  </si>
  <si>
    <t>CÁC BỘ PHẬN TRONG NĂM 2024</t>
  </si>
  <si>
    <t>TIỀN ĐIỆN BÌNH
 QUÂN 1 THÁNG</t>
  </si>
  <si>
    <t>BÌNH QUÂN TIỀN ĐIỆN 1 THÁNG TOÀN CÔNG TY NĂM 2024:</t>
  </si>
  <si>
    <t>TỔNG TIỀN ĐIỆN  TOÀN CÔNG TY NĂM 2024:</t>
  </si>
  <si>
    <t>CÁC BỘ PHẬN TRONG NĂM 2025</t>
  </si>
  <si>
    <t>BÌNH QUÂN TIỀN ĐIỆN 1 THÁNG TOÀN CÔNG TY NĂM 2025</t>
  </si>
  <si>
    <t>CHUẨN BỊ,UV)</t>
  </si>
  <si>
    <t>TỔNG TIỀN ĐIỆN  TOÀN CÔNG TY TỪ THÁNG 1-9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</si>
</sst>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_-* #,##0.00_-;\-* #,##0.00_-;_-* &quot;-&quot;??_-;_-@_-"/>
    <numFmt numFmtId="165" formatCode="_-* #,##0_-;\-* #,##0_-;_-* &quot;-&quot;??_-;_-@_-"/>
    <numFmt numFmtId="166" formatCode="_-* #,##0.0_-;\-* #,##0.0_-;_-* &quot;-&quot;??_-;_-@_-"/>
    <numFmt numFmtId="167" formatCode="#,##0.0"/>
    <numFmt numFmtId="168" formatCode="0.0"/>
    <numFmt numFmtId="169" formatCode="_-* #,##0.0_-;\-* #,##0.0_-;_-* &quot;-&quot;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20"/>
      <color theme="1"/>
      <name val="Arial"/>
      <family val="2"/>
    </font>
    <font>
      <sz val="12"/>
      <color theme="1"/>
      <name val="Arial"/>
      <family val="2"/>
    </font>
    <font>
      <sz val="12"/>
      <color rgb="FF0000CC"/>
      <name val="Arial"/>
      <family val="2"/>
    </font>
    <font>
      <sz val="12"/>
      <color rgb="FFFF3300"/>
      <name val="Arial"/>
      <family val="2"/>
    </font>
    <font>
      <b/>
      <sz val="14"/>
      <color theme="1"/>
      <name val="Arial"/>
      <family val="2"/>
    </font>
    <font>
      <sz val="12"/>
      <color rgb="FFC00000"/>
      <name val="Arial"/>
      <family val="2"/>
    </font>
    <font>
      <sz val="11"/>
      <color theme="1"/>
      <name val="Calibri"/>
      <family val="2"/>
      <charset val="163"/>
      <scheme val="minor"/>
    </font>
    <font>
      <sz val="12"/>
      <name val="Arial"/>
      <family val="2"/>
    </font>
    <font>
      <b/>
      <sz val="12"/>
      <color rgb="FFFF0000"/>
      <name val="Arial"/>
      <family val="2"/>
    </font>
    <font>
      <b/>
      <sz val="12"/>
      <color rgb="FF0000CC"/>
      <name val="Arial"/>
      <family val="2"/>
    </font>
    <font>
      <sz val="12"/>
      <color rgb="FFFF0000"/>
      <name val="Arial"/>
      <family val="2"/>
    </font>
    <font>
      <b/>
      <sz val="16"/>
      <color theme="1"/>
      <name val="Arial"/>
      <family val="2"/>
    </font>
    <font>
      <b/>
      <sz val="16"/>
      <color rgb="FFFF0000"/>
      <name val="Arial"/>
      <family val="2"/>
    </font>
    <font>
      <b/>
      <sz val="12"/>
      <name val="Arial"/>
      <family val="2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8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9" fillId="0" borderId="0"/>
  </cellStyleXfs>
  <cellXfs count="120">
    <xf numFmtId="0" fontId="0" fillId="0" borderId="0" xfId="0"/>
    <xf numFmtId="0" fontId="2" fillId="0" borderId="0" xfId="0" applyFont="1"/>
    <xf numFmtId="0" fontId="4" fillId="0" borderId="4" xfId="0" applyFont="1" applyBorder="1"/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165" fontId="4" fillId="0" borderId="4" xfId="1" applyNumberFormat="1" applyFont="1" applyBorder="1"/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165" fontId="4" fillId="0" borderId="11" xfId="1" applyNumberFormat="1" applyFont="1" applyBorder="1"/>
    <xf numFmtId="165" fontId="5" fillId="0" borderId="11" xfId="1" applyNumberFormat="1" applyFont="1" applyBorder="1"/>
    <xf numFmtId="165" fontId="6" fillId="0" borderId="11" xfId="1" applyNumberFormat="1" applyFont="1" applyBorder="1"/>
    <xf numFmtId="165" fontId="7" fillId="0" borderId="5" xfId="0" applyNumberFormat="1" applyFont="1" applyBorder="1"/>
    <xf numFmtId="0" fontId="7" fillId="0" borderId="12" xfId="0" applyFont="1" applyBorder="1"/>
    <xf numFmtId="0" fontId="7" fillId="0" borderId="5" xfId="0" applyFont="1" applyBorder="1"/>
    <xf numFmtId="165" fontId="10" fillId="0" borderId="4" xfId="2" applyNumberFormat="1" applyFont="1" applyBorder="1"/>
    <xf numFmtId="165" fontId="5" fillId="0" borderId="11" xfId="0" applyNumberFormat="1" applyFont="1" applyBorder="1"/>
    <xf numFmtId="165" fontId="11" fillId="0" borderId="11" xfId="0" applyNumberFormat="1" applyFont="1" applyBorder="1"/>
    <xf numFmtId="165" fontId="4" fillId="0" borderId="4" xfId="1" applyNumberFormat="1" applyFont="1" applyBorder="1" applyAlignment="1"/>
    <xf numFmtId="165" fontId="5" fillId="0" borderId="4" xfId="1" applyNumberFormat="1" applyFont="1" applyBorder="1"/>
    <xf numFmtId="165" fontId="6" fillId="0" borderId="4" xfId="1" applyNumberFormat="1" applyFont="1" applyBorder="1"/>
    <xf numFmtId="3" fontId="4" fillId="0" borderId="4" xfId="0" applyNumberFormat="1" applyFont="1" applyBorder="1"/>
    <xf numFmtId="165" fontId="8" fillId="0" borderId="4" xfId="1" applyNumberFormat="1" applyFont="1" applyBorder="1"/>
    <xf numFmtId="165" fontId="11" fillId="0" borderId="4" xfId="0" applyNumberFormat="1" applyFont="1" applyBorder="1"/>
    <xf numFmtId="165" fontId="2" fillId="0" borderId="0" xfId="0" applyNumberFormat="1" applyFont="1"/>
    <xf numFmtId="0" fontId="2" fillId="2" borderId="20" xfId="0" applyFont="1" applyFill="1" applyBorder="1" applyAlignment="1">
      <alignment horizontal="center"/>
    </xf>
    <xf numFmtId="0" fontId="4" fillId="0" borderId="21" xfId="0" applyFont="1" applyBorder="1" applyAlignment="1">
      <alignment horizontal="center"/>
    </xf>
    <xf numFmtId="165" fontId="4" fillId="0" borderId="8" xfId="1" applyNumberFormat="1" applyFont="1" applyBorder="1"/>
    <xf numFmtId="165" fontId="10" fillId="0" borderId="8" xfId="2" applyNumberFormat="1" applyFont="1" applyBorder="1"/>
    <xf numFmtId="165" fontId="5" fillId="0" borderId="24" xfId="0" applyNumberFormat="1" applyFont="1" applyBorder="1"/>
    <xf numFmtId="165" fontId="11" fillId="0" borderId="8" xfId="0" applyNumberFormat="1" applyFont="1" applyBorder="1"/>
    <xf numFmtId="3" fontId="4" fillId="0" borderId="8" xfId="0" applyNumberFormat="1" applyFont="1" applyBorder="1"/>
    <xf numFmtId="0" fontId="4" fillId="0" borderId="8" xfId="0" applyFont="1" applyBorder="1"/>
    <xf numFmtId="165" fontId="12" fillId="0" borderId="22" xfId="0" applyNumberFormat="1" applyFont="1" applyBorder="1"/>
    <xf numFmtId="0" fontId="4" fillId="0" borderId="25" xfId="0" applyFont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165" fontId="12" fillId="0" borderId="11" xfId="0" applyNumberFormat="1" applyFont="1" applyBorder="1"/>
    <xf numFmtId="165" fontId="13" fillId="0" borderId="24" xfId="0" applyNumberFormat="1" applyFont="1" applyBorder="1"/>
    <xf numFmtId="165" fontId="12" fillId="0" borderId="8" xfId="0" applyNumberFormat="1" applyFont="1" applyBorder="1"/>
    <xf numFmtId="0" fontId="2" fillId="2" borderId="14" xfId="0" applyFont="1" applyFill="1" applyBorder="1" applyAlignment="1">
      <alignment vertical="center"/>
    </xf>
    <xf numFmtId="0" fontId="2" fillId="2" borderId="16" xfId="0" applyFont="1" applyFill="1" applyBorder="1" applyAlignment="1">
      <alignment horizontal="center" vertical="center"/>
    </xf>
    <xf numFmtId="0" fontId="4" fillId="0" borderId="11" xfId="0" applyFont="1" applyBorder="1"/>
    <xf numFmtId="164" fontId="4" fillId="0" borderId="11" xfId="1" applyFont="1" applyBorder="1"/>
    <xf numFmtId="169" fontId="4" fillId="0" borderId="11" xfId="1" applyNumberFormat="1" applyFont="1" applyBorder="1"/>
    <xf numFmtId="169" fontId="4" fillId="0" borderId="22" xfId="1" applyNumberFormat="1" applyFont="1" applyBorder="1"/>
    <xf numFmtId="0" fontId="4" fillId="0" borderId="12" xfId="0" applyFont="1" applyBorder="1"/>
    <xf numFmtId="167" fontId="4" fillId="0" borderId="11" xfId="0" applyNumberFormat="1" applyFont="1" applyBorder="1"/>
    <xf numFmtId="168" fontId="4" fillId="0" borderId="11" xfId="0" applyNumberFormat="1" applyFont="1" applyBorder="1"/>
    <xf numFmtId="168" fontId="4" fillId="0" borderId="22" xfId="0" applyNumberFormat="1" applyFont="1" applyBorder="1"/>
    <xf numFmtId="0" fontId="2" fillId="2" borderId="13" xfId="0" applyFont="1" applyFill="1" applyBorder="1" applyAlignment="1">
      <alignment vertical="center"/>
    </xf>
    <xf numFmtId="168" fontId="4" fillId="0" borderId="11" xfId="1" applyNumberFormat="1" applyFont="1" applyBorder="1"/>
    <xf numFmtId="166" fontId="4" fillId="0" borderId="11" xfId="1" applyNumberFormat="1" applyFont="1" applyBorder="1"/>
    <xf numFmtId="166" fontId="4" fillId="0" borderId="22" xfId="1" applyNumberFormat="1" applyFont="1" applyBorder="1"/>
    <xf numFmtId="0" fontId="4" fillId="0" borderId="22" xfId="0" applyFont="1" applyBorder="1"/>
    <xf numFmtId="0" fontId="2" fillId="4" borderId="14" xfId="0" applyFont="1" applyFill="1" applyBorder="1" applyAlignment="1">
      <alignment vertical="center"/>
    </xf>
    <xf numFmtId="0" fontId="14" fillId="0" borderId="0" xfId="0" applyFont="1" applyAlignment="1">
      <alignment vertical="center"/>
    </xf>
    <xf numFmtId="165" fontId="15" fillId="0" borderId="35" xfId="0" applyNumberFormat="1" applyFont="1" applyBorder="1" applyAlignment="1">
      <alignment vertical="center"/>
    </xf>
    <xf numFmtId="165" fontId="11" fillId="0" borderId="11" xfId="1" applyNumberFormat="1" applyFont="1" applyBorder="1"/>
    <xf numFmtId="165" fontId="12" fillId="0" borderId="4" xfId="1" applyNumberFormat="1" applyFont="1" applyBorder="1"/>
    <xf numFmtId="165" fontId="12" fillId="0" borderId="11" xfId="1" applyNumberFormat="1" applyFont="1" applyBorder="1"/>
    <xf numFmtId="166" fontId="11" fillId="0" borderId="11" xfId="1" applyNumberFormat="1" applyFont="1" applyBorder="1"/>
    <xf numFmtId="166" fontId="11" fillId="0" borderId="4" xfId="1" applyNumberFormat="1" applyFont="1" applyBorder="1"/>
    <xf numFmtId="165" fontId="11" fillId="0" borderId="4" xfId="1" applyNumberFormat="1" applyFont="1" applyBorder="1"/>
    <xf numFmtId="0" fontId="2" fillId="2" borderId="29" xfId="0" applyFont="1" applyFill="1" applyBorder="1" applyAlignment="1">
      <alignment horizontal="center" vertical="center"/>
    </xf>
    <xf numFmtId="169" fontId="11" fillId="0" borderId="11" xfId="1" applyNumberFormat="1" applyFont="1" applyBorder="1"/>
    <xf numFmtId="167" fontId="11" fillId="0" borderId="11" xfId="0" applyNumberFormat="1" applyFont="1" applyBorder="1"/>
    <xf numFmtId="0" fontId="2" fillId="2" borderId="7" xfId="0" applyFont="1" applyFill="1" applyBorder="1" applyAlignment="1">
      <alignment horizontal="center" vertical="center"/>
    </xf>
    <xf numFmtId="169" fontId="11" fillId="0" borderId="22" xfId="1" applyNumberFormat="1" applyFont="1" applyBorder="1"/>
    <xf numFmtId="167" fontId="11" fillId="0" borderId="22" xfId="0" applyNumberFormat="1" applyFont="1" applyBorder="1"/>
    <xf numFmtId="166" fontId="11" fillId="0" borderId="22" xfId="1" applyNumberFormat="1" applyFont="1" applyBorder="1"/>
    <xf numFmtId="0" fontId="2" fillId="2" borderId="26" xfId="0" applyFont="1" applyFill="1" applyBorder="1"/>
    <xf numFmtId="165" fontId="17" fillId="0" borderId="4" xfId="2" applyNumberFormat="1" applyFont="1" applyBorder="1"/>
    <xf numFmtId="165" fontId="17" fillId="0" borderId="0" xfId="2" applyNumberFormat="1" applyFont="1" applyBorder="1"/>
    <xf numFmtId="166" fontId="12" fillId="0" borderId="22" xfId="1" applyNumberFormat="1" applyFont="1" applyBorder="1"/>
    <xf numFmtId="167" fontId="12" fillId="0" borderId="22" xfId="0" applyNumberFormat="1" applyFont="1" applyBorder="1"/>
    <xf numFmtId="169" fontId="12" fillId="0" borderId="22" xfId="1" applyNumberFormat="1" applyFont="1" applyBorder="1"/>
    <xf numFmtId="165" fontId="12" fillId="0" borderId="22" xfId="1" applyNumberFormat="1" applyFont="1" applyBorder="1"/>
    <xf numFmtId="165" fontId="12" fillId="0" borderId="8" xfId="1" applyNumberFormat="1" applyFont="1" applyBorder="1"/>
    <xf numFmtId="0" fontId="2" fillId="2" borderId="29" xfId="0" applyFont="1" applyFill="1" applyBorder="1" applyAlignment="1">
      <alignment horizontal="center"/>
    </xf>
    <xf numFmtId="0" fontId="2" fillId="2" borderId="36" xfId="0" applyFont="1" applyFill="1" applyBorder="1"/>
    <xf numFmtId="165" fontId="11" fillId="0" borderId="22" xfId="1" applyNumberFormat="1" applyFont="1" applyBorder="1"/>
    <xf numFmtId="165" fontId="11" fillId="0" borderId="8" xfId="1" applyNumberFormat="1" applyFont="1" applyBorder="1"/>
    <xf numFmtId="0" fontId="2" fillId="2" borderId="37" xfId="0" applyFont="1" applyFill="1" applyBorder="1"/>
    <xf numFmtId="0" fontId="2" fillId="2" borderId="7" xfId="0" applyFont="1" applyFill="1" applyBorder="1" applyAlignment="1">
      <alignment horizontal="center" vertical="center"/>
    </xf>
    <xf numFmtId="165" fontId="16" fillId="0" borderId="23" xfId="0" applyNumberFormat="1" applyFont="1" applyBorder="1" applyAlignment="1">
      <alignment horizontal="center" vertical="center"/>
    </xf>
    <xf numFmtId="165" fontId="16" fillId="0" borderId="30" xfId="0" applyNumberFormat="1" applyFont="1" applyBorder="1" applyAlignment="1">
      <alignment horizontal="center" vertical="center"/>
    </xf>
    <xf numFmtId="165" fontId="16" fillId="0" borderId="31" xfId="0" applyNumberFormat="1" applyFont="1" applyBorder="1" applyAlignment="1">
      <alignment horizontal="center" vertical="center"/>
    </xf>
    <xf numFmtId="0" fontId="7" fillId="3" borderId="28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14" fillId="0" borderId="33" xfId="0" applyFont="1" applyBorder="1" applyAlignment="1">
      <alignment horizontal="right" vertical="center"/>
    </xf>
    <xf numFmtId="0" fontId="14" fillId="0" borderId="34" xfId="0" applyFont="1" applyBorder="1" applyAlignment="1">
      <alignment horizontal="right" vertical="center"/>
    </xf>
    <xf numFmtId="0" fontId="7" fillId="3" borderId="27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7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/>
    </xf>
    <xf numFmtId="165" fontId="16" fillId="0" borderId="30" xfId="0" applyNumberFormat="1" applyFont="1" applyBorder="1" applyAlignment="1">
      <alignment horizontal="left" vertical="center"/>
    </xf>
    <xf numFmtId="165" fontId="16" fillId="0" borderId="31" xfId="0" applyNumberFormat="1" applyFont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/>
    </xf>
    <xf numFmtId="165" fontId="11" fillId="0" borderId="30" xfId="0" applyNumberFormat="1" applyFont="1" applyBorder="1" applyAlignment="1">
      <alignment horizontal="left" vertical="center"/>
    </xf>
    <xf numFmtId="165" fontId="11" fillId="0" borderId="31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center" vertical="center"/>
    </xf>
    <xf numFmtId="165" fontId="11" fillId="0" borderId="30" xfId="0" applyNumberFormat="1" applyFont="1" applyBorder="1" applyAlignment="1">
      <alignment horizontal="center" vertical="center"/>
    </xf>
    <xf numFmtId="165" fontId="11" fillId="0" borderId="31" xfId="0" applyNumberFormat="1" applyFont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</cellXfs>
  <cellStyles count="4">
    <cellStyle name="Comma" xfId="1" builtinId="3"/>
    <cellStyle name="Comma 2" xfId="2" xr:uid="{5479D43F-23C5-4CDF-98B4-B9D7D5EF0866}"/>
    <cellStyle name="Normal" xfId="0" builtinId="0"/>
    <cellStyle name="Normal 2" xfId="3" xr:uid="{0D129555-1FC5-4B42-A524-5755D663F4AA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175E97DE-C822-4043-B24E-90EB6707D783}"/>
  </tableStyles>
  <colors>
    <mruColors>
      <color rgb="FF0000CC"/>
      <color rgb="FFFF00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8AA5D-7AA2-4D95-A495-D9E8E285BD81}">
  <dimension ref="A1:J72"/>
  <sheetViews>
    <sheetView tabSelected="1" zoomScaleNormal="100" workbookViewId="0">
      <selection activeCell="H68" sqref="H68"/>
    </sheetView>
  </sheetViews>
  <sheetFormatPr defaultColWidth="9.109375" defaultRowHeight="15.6" x14ac:dyDescent="0.3"/>
  <cols>
    <col min="1" max="1" width="22.6640625" style="1" customWidth="1"/>
    <col min="2" max="2" width="13" style="1" customWidth="1"/>
    <col min="3" max="3" width="17.44140625" style="1" customWidth="1"/>
    <col min="4" max="4" width="20.88671875" style="1" customWidth="1"/>
    <col min="5" max="5" width="26.6640625" style="1" customWidth="1"/>
    <col min="6" max="7" width="17.44140625" style="1" customWidth="1"/>
    <col min="8" max="8" width="25.109375" style="1" customWidth="1"/>
    <col min="9" max="9" width="17.5546875" style="1" bestFit="1" customWidth="1"/>
    <col min="10" max="10" width="22.109375" style="1" customWidth="1"/>
    <col min="11" max="16384" width="9.109375" style="1"/>
  </cols>
  <sheetData>
    <row r="1" spans="1:10" ht="26.25" customHeight="1" x14ac:dyDescent="0.4">
      <c r="A1" s="98" t="s">
        <v>0</v>
      </c>
      <c r="B1" s="98"/>
      <c r="C1" s="98"/>
      <c r="D1" s="98"/>
      <c r="E1" s="98"/>
      <c r="F1" s="98"/>
      <c r="G1" s="98"/>
      <c r="H1" s="98"/>
    </row>
    <row r="2" spans="1:10" ht="27" customHeight="1" thickBot="1" x14ac:dyDescent="0.45">
      <c r="A2" s="99" t="s">
        <v>28</v>
      </c>
      <c r="B2" s="99"/>
      <c r="C2" s="99"/>
      <c r="D2" s="99"/>
      <c r="E2" s="99"/>
      <c r="F2" s="99"/>
      <c r="G2" s="99"/>
      <c r="H2" s="99"/>
    </row>
    <row r="3" spans="1:10" ht="16.2" thickTop="1" x14ac:dyDescent="0.3">
      <c r="A3" s="100" t="s">
        <v>1</v>
      </c>
      <c r="B3" s="102" t="s">
        <v>2</v>
      </c>
      <c r="C3" s="8" t="s">
        <v>3</v>
      </c>
      <c r="D3" s="104" t="s">
        <v>5</v>
      </c>
      <c r="E3" s="9" t="s">
        <v>6</v>
      </c>
      <c r="F3" s="8" t="s">
        <v>8</v>
      </c>
      <c r="G3" s="59" t="s">
        <v>10</v>
      </c>
      <c r="H3" s="108" t="s">
        <v>25</v>
      </c>
    </row>
    <row r="4" spans="1:10" x14ac:dyDescent="0.3">
      <c r="A4" s="112"/>
      <c r="B4" s="103"/>
      <c r="C4" s="10" t="s">
        <v>4</v>
      </c>
      <c r="D4" s="105"/>
      <c r="E4" s="11" t="s">
        <v>7</v>
      </c>
      <c r="F4" s="10" t="s">
        <v>9</v>
      </c>
      <c r="G4" s="45" t="s">
        <v>23</v>
      </c>
      <c r="H4" s="109"/>
    </row>
    <row r="5" spans="1:10" x14ac:dyDescent="0.3">
      <c r="A5" s="4" t="s">
        <v>11</v>
      </c>
      <c r="B5" s="5">
        <v>1</v>
      </c>
      <c r="C5" s="7">
        <v>22109</v>
      </c>
      <c r="D5" s="7">
        <v>54350205</v>
      </c>
      <c r="E5" s="64">
        <f>D5-'2024'!D16</f>
        <v>-23319674</v>
      </c>
      <c r="F5" s="7">
        <v>140027</v>
      </c>
      <c r="G5" s="48">
        <f t="shared" ref="G5:G14" si="0">D5/F5</f>
        <v>388.14089425610774</v>
      </c>
      <c r="H5" s="110">
        <f>D16/10</f>
        <v>75549607.799999997</v>
      </c>
    </row>
    <row r="6" spans="1:10" x14ac:dyDescent="0.3">
      <c r="A6" s="4" t="s">
        <v>12</v>
      </c>
      <c r="B6" s="5">
        <v>2</v>
      </c>
      <c r="C6" s="7">
        <v>23503</v>
      </c>
      <c r="D6" s="7">
        <v>57710410</v>
      </c>
      <c r="E6" s="62">
        <f>D6-D5</f>
        <v>3360205</v>
      </c>
      <c r="F6" s="7">
        <f>129181+13722</f>
        <v>142903</v>
      </c>
      <c r="G6" s="48">
        <f t="shared" si="0"/>
        <v>403.84323632114092</v>
      </c>
      <c r="H6" s="110"/>
    </row>
    <row r="7" spans="1:10" x14ac:dyDescent="0.3">
      <c r="A7" s="4" t="s">
        <v>13</v>
      </c>
      <c r="B7" s="5">
        <v>3</v>
      </c>
      <c r="C7" s="7">
        <v>29838</v>
      </c>
      <c r="D7" s="7">
        <v>75874349</v>
      </c>
      <c r="E7" s="62">
        <f>D7-D6</f>
        <v>18163939</v>
      </c>
      <c r="F7" s="7">
        <f>18079+142559</f>
        <v>160638</v>
      </c>
      <c r="G7" s="48">
        <f t="shared" si="0"/>
        <v>472.33126034935697</v>
      </c>
      <c r="H7" s="110"/>
    </row>
    <row r="8" spans="1:10" x14ac:dyDescent="0.3">
      <c r="A8" s="4" t="s">
        <v>14</v>
      </c>
      <c r="B8" s="5">
        <v>4</v>
      </c>
      <c r="C8" s="7">
        <v>29073</v>
      </c>
      <c r="D8" s="7">
        <v>73793291</v>
      </c>
      <c r="E8" s="64">
        <f>D8-D7</f>
        <v>-2081058</v>
      </c>
      <c r="F8" s="7">
        <v>140604</v>
      </c>
      <c r="G8" s="69">
        <f t="shared" si="0"/>
        <v>524.83066626838502</v>
      </c>
      <c r="H8" s="110"/>
    </row>
    <row r="9" spans="1:10" x14ac:dyDescent="0.3">
      <c r="A9" s="4" t="s">
        <v>15</v>
      </c>
      <c r="B9" s="37">
        <v>5</v>
      </c>
      <c r="C9" s="7">
        <v>29237</v>
      </c>
      <c r="D9" s="7">
        <v>75986516</v>
      </c>
      <c r="E9" s="62">
        <f t="shared" ref="E9" si="1">D9-D8</f>
        <v>2193225</v>
      </c>
      <c r="F9" s="7">
        <v>140516</v>
      </c>
      <c r="G9" s="69">
        <f t="shared" si="0"/>
        <v>540.76771328531981</v>
      </c>
      <c r="H9" s="110"/>
    </row>
    <row r="10" spans="1:10" x14ac:dyDescent="0.3">
      <c r="A10" s="4"/>
      <c r="B10" s="37">
        <v>6</v>
      </c>
      <c r="C10" s="30">
        <v>23184</v>
      </c>
      <c r="D10" s="30">
        <v>58951538</v>
      </c>
      <c r="E10" s="64">
        <f>D10-D9</f>
        <v>-17034978</v>
      </c>
      <c r="F10" s="30">
        <v>127249</v>
      </c>
      <c r="G10" s="72">
        <f t="shared" si="0"/>
        <v>463.2770237880062</v>
      </c>
      <c r="H10" s="110"/>
    </row>
    <row r="11" spans="1:10" x14ac:dyDescent="0.3">
      <c r="A11" s="4"/>
      <c r="B11" s="29">
        <v>7</v>
      </c>
      <c r="C11" s="30">
        <v>26435</v>
      </c>
      <c r="D11" s="30">
        <v>69851175</v>
      </c>
      <c r="E11" s="62">
        <f>D11-D10</f>
        <v>10899637</v>
      </c>
      <c r="F11" s="30">
        <v>122117</v>
      </c>
      <c r="G11" s="72">
        <f t="shared" si="0"/>
        <v>572.00205540588126</v>
      </c>
      <c r="H11" s="110"/>
      <c r="I11" s="76"/>
    </row>
    <row r="12" spans="1:10" x14ac:dyDescent="0.3">
      <c r="A12" s="4"/>
      <c r="B12" s="29">
        <v>8</v>
      </c>
      <c r="C12" s="30">
        <v>27390</v>
      </c>
      <c r="D12" s="30">
        <v>72481953</v>
      </c>
      <c r="E12" s="81">
        <f>D11-D12</f>
        <v>-2630778</v>
      </c>
      <c r="F12" s="30">
        <v>139711</v>
      </c>
      <c r="G12" s="80">
        <f t="shared" si="0"/>
        <v>518.79918546141676</v>
      </c>
      <c r="H12" s="110"/>
      <c r="I12" s="77"/>
    </row>
    <row r="13" spans="1:10" x14ac:dyDescent="0.3">
      <c r="A13" s="4"/>
      <c r="B13" s="37">
        <v>9</v>
      </c>
      <c r="C13" s="31">
        <v>24678</v>
      </c>
      <c r="D13" s="18">
        <v>65909898</v>
      </c>
      <c r="E13" s="81">
        <f>D13-D12</f>
        <v>-6572055</v>
      </c>
      <c r="F13" s="30">
        <v>135756</v>
      </c>
      <c r="G13" s="80">
        <f t="shared" si="0"/>
        <v>485.50265181649428</v>
      </c>
      <c r="H13" s="110"/>
      <c r="I13" s="77"/>
    </row>
    <row r="14" spans="1:10" x14ac:dyDescent="0.3">
      <c r="A14" s="4"/>
      <c r="B14" s="29">
        <v>10</v>
      </c>
      <c r="C14" s="31">
        <v>28510</v>
      </c>
      <c r="D14" s="31">
        <v>75874289</v>
      </c>
      <c r="E14" s="85">
        <f>D14-D13</f>
        <v>9964391</v>
      </c>
      <c r="F14" s="30">
        <v>177502</v>
      </c>
      <c r="G14" s="80">
        <f t="shared" si="0"/>
        <v>427.45596669333304</v>
      </c>
      <c r="H14" s="110"/>
      <c r="I14" s="77"/>
    </row>
    <row r="15" spans="1:10" x14ac:dyDescent="0.3">
      <c r="A15" s="83"/>
      <c r="B15" s="29">
        <v>11</v>
      </c>
      <c r="C15" s="31">
        <v>28036</v>
      </c>
      <c r="D15" s="31">
        <v>74712454</v>
      </c>
      <c r="E15" s="85">
        <f>D15-D14</f>
        <v>-1161835</v>
      </c>
      <c r="F15" s="30"/>
      <c r="G15" s="80"/>
      <c r="H15" s="110"/>
      <c r="I15" s="77"/>
    </row>
    <row r="16" spans="1:10" ht="18" thickBot="1" x14ac:dyDescent="0.35">
      <c r="A16" s="92" t="s">
        <v>16</v>
      </c>
      <c r="B16" s="93"/>
      <c r="C16" s="15">
        <f>SUM(C5:C15)</f>
        <v>291993</v>
      </c>
      <c r="D16" s="15">
        <f>SUM(D5:D15)</f>
        <v>755496078</v>
      </c>
      <c r="E16" s="16"/>
      <c r="F16" s="17"/>
      <c r="G16" s="50"/>
      <c r="H16" s="111"/>
      <c r="J16" s="27"/>
    </row>
    <row r="17" spans="1:10" ht="26.25" hidden="1" customHeight="1" thickTop="1" x14ac:dyDescent="0.4">
      <c r="A17" s="98" t="s">
        <v>0</v>
      </c>
      <c r="B17" s="98"/>
      <c r="C17" s="98"/>
      <c r="D17" s="98"/>
      <c r="E17" s="98"/>
      <c r="F17" s="98"/>
      <c r="G17" s="98"/>
      <c r="H17" s="98"/>
    </row>
    <row r="18" spans="1:10" ht="27" hidden="1" customHeight="1" thickBot="1" x14ac:dyDescent="0.45">
      <c r="A18" s="99" t="s">
        <v>28</v>
      </c>
      <c r="B18" s="99"/>
      <c r="C18" s="99"/>
      <c r="D18" s="99"/>
      <c r="E18" s="99"/>
      <c r="F18" s="99"/>
      <c r="G18" s="99"/>
      <c r="H18" s="99"/>
    </row>
    <row r="19" spans="1:10" ht="16.2" hidden="1" thickTop="1" x14ac:dyDescent="0.3">
      <c r="A19" s="100" t="s">
        <v>1</v>
      </c>
      <c r="B19" s="102" t="s">
        <v>2</v>
      </c>
      <c r="C19" s="8" t="s">
        <v>3</v>
      </c>
      <c r="D19" s="104" t="s">
        <v>5</v>
      </c>
      <c r="E19" s="9" t="s">
        <v>6</v>
      </c>
      <c r="F19" s="8" t="s">
        <v>8</v>
      </c>
      <c r="G19" s="54" t="s">
        <v>10</v>
      </c>
      <c r="H19" s="108" t="s">
        <v>25</v>
      </c>
    </row>
    <row r="20" spans="1:10" hidden="1" x14ac:dyDescent="0.3">
      <c r="A20" s="112"/>
      <c r="B20" s="103"/>
      <c r="C20" s="10" t="s">
        <v>4</v>
      </c>
      <c r="D20" s="105"/>
      <c r="E20" s="11" t="s">
        <v>7</v>
      </c>
      <c r="F20" s="10" t="s">
        <v>9</v>
      </c>
      <c r="G20" s="40" t="s">
        <v>23</v>
      </c>
      <c r="H20" s="109"/>
    </row>
    <row r="21" spans="1:10" ht="16.2" thickTop="1" x14ac:dyDescent="0.3">
      <c r="A21" s="3" t="s">
        <v>17</v>
      </c>
      <c r="B21" s="5">
        <v>1</v>
      </c>
      <c r="C21" s="7">
        <v>18029</v>
      </c>
      <c r="D21" s="7">
        <v>43527985</v>
      </c>
      <c r="E21" s="64">
        <f>D21-'2024'!D33</f>
        <v>-52418786</v>
      </c>
      <c r="F21" s="7">
        <v>143161</v>
      </c>
      <c r="G21" s="51">
        <f t="shared" ref="G21:G30" si="2">D21/F21</f>
        <v>304.0491823890585</v>
      </c>
      <c r="H21" s="89">
        <f>D32/10</f>
        <v>102161321.09999999</v>
      </c>
      <c r="J21" s="27"/>
    </row>
    <row r="22" spans="1:10" x14ac:dyDescent="0.3">
      <c r="A22" s="38" t="s">
        <v>30</v>
      </c>
      <c r="B22" s="5">
        <v>2</v>
      </c>
      <c r="C22" s="7">
        <v>14830</v>
      </c>
      <c r="D22" s="7">
        <v>35195535</v>
      </c>
      <c r="E22" s="64">
        <f>D22-D21</f>
        <v>-8332450</v>
      </c>
      <c r="F22" s="7">
        <f>131037+14150</f>
        <v>145187</v>
      </c>
      <c r="G22" s="51">
        <f t="shared" si="2"/>
        <v>242.41519557536142</v>
      </c>
      <c r="H22" s="90"/>
      <c r="J22" s="27"/>
    </row>
    <row r="23" spans="1:10" x14ac:dyDescent="0.3">
      <c r="A23" s="38" t="s">
        <v>19</v>
      </c>
      <c r="B23" s="5">
        <v>3</v>
      </c>
      <c r="C23" s="7">
        <f>10841+14121</f>
        <v>24962</v>
      </c>
      <c r="D23" s="7">
        <f>26608348+34668997</f>
        <v>61277345</v>
      </c>
      <c r="E23" s="62">
        <f>D23-D22</f>
        <v>26081810</v>
      </c>
      <c r="F23" s="7">
        <f>148100+20153</f>
        <v>168253</v>
      </c>
      <c r="G23" s="51">
        <f t="shared" si="2"/>
        <v>364.19763689206138</v>
      </c>
      <c r="H23" s="90"/>
    </row>
    <row r="24" spans="1:10" x14ac:dyDescent="0.3">
      <c r="A24" s="38" t="s">
        <v>20</v>
      </c>
      <c r="B24" s="5">
        <v>4</v>
      </c>
      <c r="C24" s="7">
        <v>31584</v>
      </c>
      <c r="D24" s="7">
        <v>78074204</v>
      </c>
      <c r="E24" s="62">
        <f t="shared" ref="E24:E25" si="3">D24-D23</f>
        <v>16796859</v>
      </c>
      <c r="F24" s="7">
        <v>136131</v>
      </c>
      <c r="G24" s="70">
        <f t="shared" si="2"/>
        <v>573.5225922089752</v>
      </c>
      <c r="H24" s="90"/>
      <c r="J24" s="27"/>
    </row>
    <row r="25" spans="1:10" x14ac:dyDescent="0.3">
      <c r="A25" s="75"/>
      <c r="B25" s="37">
        <v>5</v>
      </c>
      <c r="C25" s="7">
        <v>32302</v>
      </c>
      <c r="D25" s="7">
        <v>81108593</v>
      </c>
      <c r="E25" s="62">
        <f t="shared" si="3"/>
        <v>3034389</v>
      </c>
      <c r="F25" s="7">
        <v>133249</v>
      </c>
      <c r="G25" s="70">
        <f t="shared" si="2"/>
        <v>608.69944990206307</v>
      </c>
      <c r="H25" s="90"/>
    </row>
    <row r="26" spans="1:10" x14ac:dyDescent="0.3">
      <c r="A26" s="75"/>
      <c r="B26" s="37">
        <v>6</v>
      </c>
      <c r="C26" s="30">
        <v>24056</v>
      </c>
      <c r="D26" s="30">
        <v>60105932</v>
      </c>
      <c r="E26" s="64">
        <f t="shared" ref="E26:E31" si="4">D26-D25</f>
        <v>-21002661</v>
      </c>
      <c r="F26" s="30">
        <v>128902</v>
      </c>
      <c r="G26" s="73">
        <f t="shared" si="2"/>
        <v>466.29169446556301</v>
      </c>
      <c r="H26" s="90"/>
    </row>
    <row r="27" spans="1:10" x14ac:dyDescent="0.3">
      <c r="A27" s="75"/>
      <c r="B27" s="29">
        <v>7</v>
      </c>
      <c r="C27" s="30">
        <v>50958</v>
      </c>
      <c r="D27" s="30">
        <v>135007935</v>
      </c>
      <c r="E27" s="62">
        <f t="shared" si="4"/>
        <v>74902003</v>
      </c>
      <c r="F27" s="30">
        <v>135318</v>
      </c>
      <c r="G27" s="73">
        <f t="shared" si="2"/>
        <v>997.70861969582757</v>
      </c>
      <c r="H27" s="90"/>
    </row>
    <row r="28" spans="1:10" x14ac:dyDescent="0.3">
      <c r="A28" s="75"/>
      <c r="B28" s="29">
        <v>8</v>
      </c>
      <c r="C28" s="30">
        <v>47861</v>
      </c>
      <c r="D28" s="30">
        <v>129983802</v>
      </c>
      <c r="E28" s="64">
        <f t="shared" si="4"/>
        <v>-5024133</v>
      </c>
      <c r="F28" s="30">
        <v>176916</v>
      </c>
      <c r="G28" s="79">
        <f t="shared" si="2"/>
        <v>734.72044360035272</v>
      </c>
      <c r="H28" s="90"/>
    </row>
    <row r="29" spans="1:10" x14ac:dyDescent="0.3">
      <c r="A29" s="75"/>
      <c r="B29" s="29">
        <v>9</v>
      </c>
      <c r="C29" s="30">
        <v>42052</v>
      </c>
      <c r="D29" s="30">
        <v>110362696</v>
      </c>
      <c r="E29" s="81">
        <f t="shared" si="4"/>
        <v>-19621106</v>
      </c>
      <c r="F29" s="30">
        <v>169898</v>
      </c>
      <c r="G29" s="79">
        <f t="shared" si="2"/>
        <v>649.58207865896009</v>
      </c>
      <c r="H29" s="90"/>
    </row>
    <row r="30" spans="1:10" x14ac:dyDescent="0.3">
      <c r="A30" s="87"/>
      <c r="B30" s="29">
        <v>10</v>
      </c>
      <c r="C30" s="30">
        <v>53922</v>
      </c>
      <c r="D30" s="30">
        <v>141574324</v>
      </c>
      <c r="E30" s="85">
        <f t="shared" si="4"/>
        <v>31211628</v>
      </c>
      <c r="F30" s="30">
        <v>205686</v>
      </c>
      <c r="G30" s="73">
        <f t="shared" si="2"/>
        <v>688.30316112909975</v>
      </c>
      <c r="H30" s="90"/>
    </row>
    <row r="31" spans="1:10" x14ac:dyDescent="0.3">
      <c r="A31" s="84"/>
      <c r="B31" s="29">
        <v>11</v>
      </c>
      <c r="C31" s="30">
        <v>28300</v>
      </c>
      <c r="D31" s="30">
        <f>71998753+73396107</f>
        <v>145394860</v>
      </c>
      <c r="E31" s="85">
        <f t="shared" si="4"/>
        <v>3820536</v>
      </c>
      <c r="F31" s="30"/>
      <c r="G31" s="73"/>
      <c r="H31" s="90"/>
    </row>
    <row r="32" spans="1:10" ht="18.75" customHeight="1" thickBot="1" x14ac:dyDescent="0.35">
      <c r="A32" s="92" t="s">
        <v>16</v>
      </c>
      <c r="B32" s="93"/>
      <c r="C32" s="15">
        <f>SUM(C21:C31)</f>
        <v>368856</v>
      </c>
      <c r="D32" s="15">
        <f>SUM(D21:D31)</f>
        <v>1021613211</v>
      </c>
      <c r="E32" s="16"/>
      <c r="F32" s="17"/>
      <c r="G32" s="50"/>
      <c r="H32" s="91"/>
      <c r="J32" s="27">
        <f>D30+D46+D14+D62</f>
        <v>378928071</v>
      </c>
    </row>
    <row r="33" spans="1:10" ht="26.25" hidden="1" customHeight="1" thickTop="1" x14ac:dyDescent="0.4">
      <c r="A33" s="98" t="s">
        <v>0</v>
      </c>
      <c r="B33" s="98"/>
      <c r="C33" s="98"/>
      <c r="D33" s="98"/>
      <c r="E33" s="98"/>
      <c r="F33" s="98"/>
      <c r="G33" s="98"/>
      <c r="H33" s="98"/>
    </row>
    <row r="34" spans="1:10" ht="27" hidden="1" customHeight="1" thickBot="1" x14ac:dyDescent="0.45">
      <c r="A34" s="99" t="s">
        <v>28</v>
      </c>
      <c r="B34" s="99"/>
      <c r="C34" s="99"/>
      <c r="D34" s="99"/>
      <c r="E34" s="99"/>
      <c r="F34" s="99"/>
      <c r="G34" s="99"/>
      <c r="H34" s="99"/>
    </row>
    <row r="35" spans="1:10" ht="1.5" hidden="1" customHeight="1" thickTop="1" x14ac:dyDescent="0.3">
      <c r="A35" s="100" t="s">
        <v>1</v>
      </c>
      <c r="B35" s="102" t="s">
        <v>2</v>
      </c>
      <c r="C35" s="8" t="s">
        <v>3</v>
      </c>
      <c r="D35" s="104" t="s">
        <v>5</v>
      </c>
      <c r="E35" s="9" t="s">
        <v>6</v>
      </c>
      <c r="F35" s="8" t="s">
        <v>8</v>
      </c>
      <c r="G35" s="44" t="s">
        <v>10</v>
      </c>
      <c r="H35" s="108" t="s">
        <v>25</v>
      </c>
    </row>
    <row r="36" spans="1:10" ht="18" hidden="1" customHeight="1" x14ac:dyDescent="0.3">
      <c r="A36" s="101"/>
      <c r="B36" s="103"/>
      <c r="C36" s="10" t="s">
        <v>4</v>
      </c>
      <c r="D36" s="105"/>
      <c r="E36" s="11" t="s">
        <v>7</v>
      </c>
      <c r="F36" s="10" t="s">
        <v>9</v>
      </c>
      <c r="G36" s="45" t="s">
        <v>23</v>
      </c>
      <c r="H36" s="109"/>
    </row>
    <row r="37" spans="1:10" ht="16.2" thickTop="1" x14ac:dyDescent="0.3">
      <c r="A37" s="88" t="s">
        <v>21</v>
      </c>
      <c r="B37" s="5">
        <v>1</v>
      </c>
      <c r="C37" s="7">
        <f>18300+46045</f>
        <v>64345</v>
      </c>
      <c r="D37" s="7">
        <v>183667206</v>
      </c>
      <c r="E37" s="63">
        <f>D37-'2024'!D50</f>
        <v>-46860581</v>
      </c>
      <c r="F37" s="7">
        <v>80281</v>
      </c>
      <c r="G37" s="65">
        <f t="shared" ref="G37:G46" si="5">D37/F37</f>
        <v>2287.8041628778915</v>
      </c>
      <c r="H37" s="90">
        <f>D48/10</f>
        <v>177667796.5</v>
      </c>
      <c r="J37" s="27">
        <f>D13+D29+D45+D61</f>
        <v>326852334</v>
      </c>
    </row>
    <row r="38" spans="1:10" ht="13.5" customHeight="1" x14ac:dyDescent="0.3">
      <c r="A38" s="88"/>
      <c r="B38" s="5">
        <v>2</v>
      </c>
      <c r="C38" s="7">
        <v>75880</v>
      </c>
      <c r="D38" s="7">
        <v>170359646</v>
      </c>
      <c r="E38" s="63">
        <f t="shared" ref="E38:E44" si="6">D38-D37</f>
        <v>-13307560</v>
      </c>
      <c r="F38" s="7">
        <f>6102+65819+14208+4494</f>
        <v>90623</v>
      </c>
      <c r="G38" s="66">
        <f t="shared" si="5"/>
        <v>1879.8720633834678</v>
      </c>
      <c r="H38" s="90"/>
    </row>
    <row r="39" spans="1:10" x14ac:dyDescent="0.3">
      <c r="A39" s="88"/>
      <c r="B39" s="5">
        <v>3</v>
      </c>
      <c r="C39" s="7">
        <v>79637</v>
      </c>
      <c r="D39" s="7">
        <v>178253794</v>
      </c>
      <c r="E39" s="67">
        <f t="shared" si="6"/>
        <v>7894148</v>
      </c>
      <c r="F39" s="7">
        <f>43452+3734+25140</f>
        <v>72326</v>
      </c>
      <c r="G39" s="66">
        <f t="shared" si="5"/>
        <v>2464.5880319663743</v>
      </c>
      <c r="H39" s="90"/>
      <c r="J39" s="27"/>
    </row>
    <row r="40" spans="1:10" x14ac:dyDescent="0.3">
      <c r="A40" s="88"/>
      <c r="B40" s="5">
        <v>4</v>
      </c>
      <c r="C40" s="7">
        <v>61276</v>
      </c>
      <c r="D40" s="7">
        <v>141147466</v>
      </c>
      <c r="E40" s="63">
        <f t="shared" si="6"/>
        <v>-37106328</v>
      </c>
      <c r="F40" s="7">
        <v>81221</v>
      </c>
      <c r="G40" s="66">
        <f t="shared" si="5"/>
        <v>1737.8198495462996</v>
      </c>
      <c r="H40" s="90"/>
      <c r="J40" s="27"/>
    </row>
    <row r="41" spans="1:10" ht="20.25" customHeight="1" x14ac:dyDescent="0.3">
      <c r="A41" s="88"/>
      <c r="B41" s="5">
        <v>5</v>
      </c>
      <c r="C41" s="7">
        <v>62971</v>
      </c>
      <c r="D41" s="7">
        <v>145492749</v>
      </c>
      <c r="E41" s="67">
        <f t="shared" si="6"/>
        <v>4345283</v>
      </c>
      <c r="F41" s="24">
        <v>63961</v>
      </c>
      <c r="G41" s="65">
        <f t="shared" si="5"/>
        <v>2274.7103547474244</v>
      </c>
      <c r="H41" s="90"/>
      <c r="J41" s="27">
        <f>J32-J37</f>
        <v>52075737</v>
      </c>
    </row>
    <row r="42" spans="1:10" ht="20.25" customHeight="1" x14ac:dyDescent="0.3">
      <c r="A42" s="88"/>
      <c r="B42" s="6">
        <v>6</v>
      </c>
      <c r="C42" s="30">
        <v>61241</v>
      </c>
      <c r="D42" s="30">
        <v>143542097</v>
      </c>
      <c r="E42" s="63">
        <f t="shared" si="6"/>
        <v>-1950652</v>
      </c>
      <c r="F42" s="34">
        <v>70686</v>
      </c>
      <c r="G42" s="74">
        <f t="shared" si="5"/>
        <v>2030.7005206122853</v>
      </c>
      <c r="H42" s="90"/>
      <c r="J42" s="27"/>
    </row>
    <row r="43" spans="1:10" ht="20.25" customHeight="1" x14ac:dyDescent="0.3">
      <c r="A43" s="88"/>
      <c r="B43" s="6">
        <v>7</v>
      </c>
      <c r="C43" s="30">
        <v>77005</v>
      </c>
      <c r="D43" s="30">
        <v>190610362</v>
      </c>
      <c r="E43" s="67">
        <f t="shared" si="6"/>
        <v>47068265</v>
      </c>
      <c r="F43" s="34">
        <v>93158</v>
      </c>
      <c r="G43" s="74">
        <f t="shared" si="5"/>
        <v>2046.0976190987355</v>
      </c>
      <c r="H43" s="90"/>
      <c r="J43" s="27"/>
    </row>
    <row r="44" spans="1:10" ht="20.25" customHeight="1" x14ac:dyDescent="0.3">
      <c r="A44" s="88"/>
      <c r="B44" s="6">
        <v>8</v>
      </c>
      <c r="C44" s="30">
        <v>69612</v>
      </c>
      <c r="D44" s="30">
        <v>169248229</v>
      </c>
      <c r="E44" s="63">
        <f t="shared" si="6"/>
        <v>-21362133</v>
      </c>
      <c r="F44" s="34">
        <v>105275</v>
      </c>
      <c r="G44" s="78">
        <f t="shared" si="5"/>
        <v>1607.6773118024223</v>
      </c>
      <c r="H44" s="90"/>
      <c r="J44" s="27"/>
    </row>
    <row r="45" spans="1:10" ht="20.25" customHeight="1" x14ac:dyDescent="0.3">
      <c r="A45" s="88"/>
      <c r="B45" s="6">
        <v>9</v>
      </c>
      <c r="C45" s="30">
        <v>58517</v>
      </c>
      <c r="D45" s="30">
        <v>139952193</v>
      </c>
      <c r="E45" s="82">
        <f>D45-D44</f>
        <v>-29296036</v>
      </c>
      <c r="F45" s="34">
        <v>90258</v>
      </c>
      <c r="G45" s="78">
        <f t="shared" si="5"/>
        <v>1550.5793724655987</v>
      </c>
      <c r="H45" s="90"/>
      <c r="J45" s="27"/>
    </row>
    <row r="46" spans="1:10" ht="20.25" customHeight="1" x14ac:dyDescent="0.3">
      <c r="A46" s="71"/>
      <c r="B46" s="6">
        <v>10</v>
      </c>
      <c r="C46" s="30">
        <v>62600</v>
      </c>
      <c r="D46" s="30">
        <v>152199834</v>
      </c>
      <c r="E46" s="86">
        <f>D46-D45</f>
        <v>12247641</v>
      </c>
      <c r="F46" s="34">
        <v>104071</v>
      </c>
      <c r="G46" s="78">
        <f t="shared" si="5"/>
        <v>1462.4615310701349</v>
      </c>
      <c r="H46" s="90"/>
      <c r="J46" s="27"/>
    </row>
    <row r="47" spans="1:10" ht="20.25" customHeight="1" x14ac:dyDescent="0.3">
      <c r="A47" s="68"/>
      <c r="B47" s="6">
        <v>11</v>
      </c>
      <c r="C47" s="30">
        <v>34438</v>
      </c>
      <c r="D47" s="30">
        <f>77900415+84303974</f>
        <v>162204389</v>
      </c>
      <c r="E47" s="86">
        <f>D47-D46</f>
        <v>10004555</v>
      </c>
      <c r="F47" s="34"/>
      <c r="G47" s="78"/>
      <c r="H47" s="90"/>
      <c r="J47" s="27"/>
    </row>
    <row r="48" spans="1:10" ht="18" thickBot="1" x14ac:dyDescent="0.35">
      <c r="A48" s="96" t="s">
        <v>16</v>
      </c>
      <c r="B48" s="97"/>
      <c r="C48" s="15">
        <f>SUM(C37:C47)</f>
        <v>707522</v>
      </c>
      <c r="D48" s="15">
        <f>SUM(D37:D47)</f>
        <v>1776677965</v>
      </c>
      <c r="E48" s="17"/>
      <c r="F48" s="17"/>
      <c r="G48" s="50"/>
      <c r="H48" s="91"/>
      <c r="J48" s="27"/>
    </row>
    <row r="49" spans="1:10" ht="26.25" hidden="1" customHeight="1" thickTop="1" x14ac:dyDescent="0.4">
      <c r="A49" s="98" t="s">
        <v>0</v>
      </c>
      <c r="B49" s="98"/>
      <c r="C49" s="98"/>
      <c r="D49" s="98"/>
      <c r="E49" s="98"/>
      <c r="F49" s="98"/>
      <c r="G49" s="98"/>
      <c r="H49" s="98"/>
    </row>
    <row r="50" spans="1:10" ht="27" hidden="1" customHeight="1" thickBot="1" x14ac:dyDescent="0.45">
      <c r="A50" s="99" t="s">
        <v>28</v>
      </c>
      <c r="B50" s="99"/>
      <c r="C50" s="99"/>
      <c r="D50" s="99"/>
      <c r="E50" s="99"/>
      <c r="F50" s="99"/>
      <c r="G50" s="99"/>
      <c r="H50" s="99"/>
    </row>
    <row r="51" spans="1:10" ht="16.5" hidden="1" customHeight="1" thickTop="1" x14ac:dyDescent="0.3">
      <c r="A51" s="100" t="s">
        <v>1</v>
      </c>
      <c r="B51" s="102" t="s">
        <v>2</v>
      </c>
      <c r="C51" s="8" t="s">
        <v>3</v>
      </c>
      <c r="D51" s="104" t="s">
        <v>5</v>
      </c>
      <c r="E51" s="9" t="s">
        <v>6</v>
      </c>
      <c r="F51" s="8" t="s">
        <v>8</v>
      </c>
      <c r="G51" s="106" t="s">
        <v>10</v>
      </c>
      <c r="H51" s="108" t="s">
        <v>25</v>
      </c>
    </row>
    <row r="52" spans="1:10" hidden="1" x14ac:dyDescent="0.3">
      <c r="A52" s="101"/>
      <c r="B52" s="103"/>
      <c r="C52" s="10" t="s">
        <v>4</v>
      </c>
      <c r="D52" s="105"/>
      <c r="E52" s="11" t="s">
        <v>7</v>
      </c>
      <c r="F52" s="10" t="s">
        <v>9</v>
      </c>
      <c r="G52" s="107"/>
      <c r="H52" s="109"/>
    </row>
    <row r="53" spans="1:10" ht="16.2" thickTop="1" x14ac:dyDescent="0.3">
      <c r="A53" s="88" t="s">
        <v>22</v>
      </c>
      <c r="B53" s="37">
        <v>1</v>
      </c>
      <c r="C53" s="7">
        <v>1353</v>
      </c>
      <c r="D53" s="7">
        <v>3272136</v>
      </c>
      <c r="E53" s="64">
        <f>D53-'2024'!D59</f>
        <v>-813120</v>
      </c>
      <c r="F53" s="2"/>
      <c r="G53" s="46"/>
      <c r="H53" s="89">
        <f>D64/11</f>
        <v>8188655</v>
      </c>
    </row>
    <row r="54" spans="1:10" x14ac:dyDescent="0.3">
      <c r="A54" s="88"/>
      <c r="B54" s="29">
        <v>2</v>
      </c>
      <c r="C54" s="7">
        <v>1523</v>
      </c>
      <c r="D54" s="7">
        <v>3708573</v>
      </c>
      <c r="E54" s="20">
        <f t="shared" ref="E54:E60" si="7">D54-D53</f>
        <v>436437</v>
      </c>
      <c r="F54" s="2"/>
      <c r="G54" s="46"/>
      <c r="H54" s="90"/>
      <c r="I54" s="27"/>
    </row>
    <row r="55" spans="1:10" x14ac:dyDescent="0.3">
      <c r="A55" s="88"/>
      <c r="B55" s="29">
        <v>3</v>
      </c>
      <c r="C55" s="30">
        <v>1961</v>
      </c>
      <c r="D55" s="30">
        <v>4771958</v>
      </c>
      <c r="E55" s="20">
        <f t="shared" si="7"/>
        <v>1063385</v>
      </c>
      <c r="F55" s="35"/>
      <c r="G55" s="58"/>
      <c r="H55" s="90"/>
      <c r="I55" s="27"/>
    </row>
    <row r="56" spans="1:10" x14ac:dyDescent="0.3">
      <c r="A56" s="88"/>
      <c r="B56" s="29">
        <v>4</v>
      </c>
      <c r="C56" s="30">
        <v>2261</v>
      </c>
      <c r="D56" s="30">
        <v>5616559</v>
      </c>
      <c r="E56" s="20">
        <f t="shared" si="7"/>
        <v>844601</v>
      </c>
      <c r="F56" s="35"/>
      <c r="G56" s="58"/>
      <c r="H56" s="90"/>
      <c r="I56" s="27"/>
    </row>
    <row r="57" spans="1:10" x14ac:dyDescent="0.3">
      <c r="A57" s="71"/>
      <c r="B57" s="29">
        <v>5</v>
      </c>
      <c r="C57" s="30">
        <v>2982</v>
      </c>
      <c r="D57" s="30">
        <v>7670556</v>
      </c>
      <c r="E57" s="20">
        <f t="shared" si="7"/>
        <v>2053997</v>
      </c>
      <c r="F57" s="35"/>
      <c r="G57" s="58"/>
      <c r="H57" s="90"/>
    </row>
    <row r="58" spans="1:10" x14ac:dyDescent="0.3">
      <c r="A58" s="71"/>
      <c r="B58" s="37">
        <v>6</v>
      </c>
      <c r="C58" s="30">
        <v>3908</v>
      </c>
      <c r="D58" s="30">
        <v>10221638</v>
      </c>
      <c r="E58" s="20">
        <f t="shared" si="7"/>
        <v>2551082</v>
      </c>
      <c r="F58" s="35"/>
      <c r="G58" s="58"/>
      <c r="H58" s="90"/>
      <c r="I58" s="27"/>
    </row>
    <row r="59" spans="1:10" x14ac:dyDescent="0.3">
      <c r="A59" s="71"/>
      <c r="B59" s="29">
        <v>7</v>
      </c>
      <c r="C59" s="30">
        <v>5169</v>
      </c>
      <c r="D59" s="30">
        <v>13495400</v>
      </c>
      <c r="E59" s="20">
        <f t="shared" si="7"/>
        <v>3273762</v>
      </c>
      <c r="F59" s="35"/>
      <c r="G59" s="58"/>
      <c r="H59" s="90"/>
    </row>
    <row r="60" spans="1:10" x14ac:dyDescent="0.3">
      <c r="A60" s="71"/>
      <c r="B60" s="29">
        <v>8</v>
      </c>
      <c r="C60" s="30">
        <v>4643</v>
      </c>
      <c r="D60" s="30">
        <v>12238088</v>
      </c>
      <c r="E60" s="41">
        <f t="shared" si="7"/>
        <v>-1257312</v>
      </c>
      <c r="F60" s="35"/>
      <c r="G60" s="58"/>
      <c r="H60" s="90"/>
      <c r="I60" s="27"/>
      <c r="J60" s="1">
        <v>8</v>
      </c>
    </row>
    <row r="61" spans="1:10" x14ac:dyDescent="0.3">
      <c r="A61" s="71"/>
      <c r="B61" s="29">
        <v>9</v>
      </c>
      <c r="C61" s="30">
        <v>4095</v>
      </c>
      <c r="D61" s="30">
        <v>10627547</v>
      </c>
      <c r="E61" s="36">
        <f>D61-D60</f>
        <v>-1610541</v>
      </c>
      <c r="F61" s="35"/>
      <c r="G61" s="58"/>
      <c r="H61" s="90"/>
      <c r="I61" s="27"/>
    </row>
    <row r="62" spans="1:10" x14ac:dyDescent="0.3">
      <c r="A62" s="71"/>
      <c r="B62" s="29">
        <v>10</v>
      </c>
      <c r="C62" s="30">
        <v>3583</v>
      </c>
      <c r="D62" s="30">
        <v>9279624</v>
      </c>
      <c r="E62" s="36">
        <f>D62-D61</f>
        <v>-1347923</v>
      </c>
      <c r="F62" s="35"/>
      <c r="G62" s="58"/>
      <c r="H62" s="90"/>
      <c r="I62" s="27"/>
    </row>
    <row r="63" spans="1:10" x14ac:dyDescent="0.3">
      <c r="A63" s="68"/>
      <c r="B63" s="29">
        <v>11</v>
      </c>
      <c r="C63" s="30">
        <v>3482</v>
      </c>
      <c r="D63" s="30">
        <v>9173126</v>
      </c>
      <c r="E63" s="36">
        <f>D63-D62</f>
        <v>-106498</v>
      </c>
      <c r="F63" s="35"/>
      <c r="G63" s="58"/>
      <c r="H63" s="90"/>
      <c r="I63" s="27"/>
    </row>
    <row r="64" spans="1:10" ht="18" thickBot="1" x14ac:dyDescent="0.35">
      <c r="A64" s="92" t="s">
        <v>16</v>
      </c>
      <c r="B64" s="93"/>
      <c r="C64" s="15">
        <f>SUM(C53:C63)</f>
        <v>34960</v>
      </c>
      <c r="D64" s="15">
        <f>SUM(D53:D63)</f>
        <v>90075205</v>
      </c>
      <c r="E64" s="16"/>
      <c r="F64" s="17"/>
      <c r="G64" s="50"/>
      <c r="H64" s="91"/>
      <c r="I64" s="27"/>
    </row>
    <row r="65" spans="1:8" ht="16.8" thickTop="1" thickBot="1" x14ac:dyDescent="0.35"/>
    <row r="66" spans="1:8" s="60" customFormat="1" ht="40.5" customHeight="1" thickTop="1" thickBot="1" x14ac:dyDescent="0.35">
      <c r="A66" s="94" t="s">
        <v>29</v>
      </c>
      <c r="B66" s="95"/>
      <c r="C66" s="95"/>
      <c r="D66" s="95"/>
      <c r="E66" s="95"/>
      <c r="F66" s="95"/>
      <c r="G66" s="95"/>
      <c r="H66" s="61">
        <f>(D64+D48+D32+D16)/11</f>
        <v>331260223.54545456</v>
      </c>
    </row>
    <row r="67" spans="1:8" ht="16.2" thickBot="1" x14ac:dyDescent="0.35"/>
    <row r="68" spans="1:8" s="60" customFormat="1" ht="40.5" customHeight="1" thickTop="1" thickBot="1" x14ac:dyDescent="0.35">
      <c r="A68" s="94" t="s">
        <v>31</v>
      </c>
      <c r="B68" s="95"/>
      <c r="C68" s="95"/>
      <c r="D68" s="95"/>
      <c r="E68" s="95"/>
      <c r="F68" s="95"/>
      <c r="G68" s="95"/>
      <c r="H68" s="61">
        <f>D64+D48+D32+D16</f>
        <v>3643862459</v>
      </c>
    </row>
    <row r="69" spans="1:8" ht="16.2" thickTop="1" x14ac:dyDescent="0.3"/>
    <row r="72" spans="1:8" x14ac:dyDescent="0.3">
      <c r="H72" s="27">
        <f>H5+H21+H37+H53</f>
        <v>363567380.39999998</v>
      </c>
    </row>
  </sheetData>
  <mergeCells count="37">
    <mergeCell ref="A1:H1"/>
    <mergeCell ref="A2:H2"/>
    <mergeCell ref="A3:A4"/>
    <mergeCell ref="B3:B4"/>
    <mergeCell ref="D3:D4"/>
    <mergeCell ref="H3:H4"/>
    <mergeCell ref="H5:H16"/>
    <mergeCell ref="A16:B16"/>
    <mergeCell ref="A17:H17"/>
    <mergeCell ref="A18:H18"/>
    <mergeCell ref="A19:A20"/>
    <mergeCell ref="B19:B20"/>
    <mergeCell ref="D19:D20"/>
    <mergeCell ref="H19:H20"/>
    <mergeCell ref="H21:H32"/>
    <mergeCell ref="A32:B32"/>
    <mergeCell ref="A33:H33"/>
    <mergeCell ref="A34:H34"/>
    <mergeCell ref="A35:A36"/>
    <mergeCell ref="B35:B36"/>
    <mergeCell ref="D35:D36"/>
    <mergeCell ref="H35:H36"/>
    <mergeCell ref="A51:A52"/>
    <mergeCell ref="B51:B52"/>
    <mergeCell ref="D51:D52"/>
    <mergeCell ref="G51:G52"/>
    <mergeCell ref="H51:H52"/>
    <mergeCell ref="H37:H48"/>
    <mergeCell ref="A48:B48"/>
    <mergeCell ref="A49:H49"/>
    <mergeCell ref="A50:H50"/>
    <mergeCell ref="A37:A45"/>
    <mergeCell ref="A53:A56"/>
    <mergeCell ref="H53:H64"/>
    <mergeCell ref="A64:B64"/>
    <mergeCell ref="A66:G66"/>
    <mergeCell ref="A68:G68"/>
  </mergeCells>
  <conditionalFormatting sqref="C13:C15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54732-9B10-43E5-826A-2452B48D9098}">
  <dimension ref="A1:I68"/>
  <sheetViews>
    <sheetView topLeftCell="A28" workbookViewId="0">
      <selection activeCell="H39" sqref="H39:H51"/>
    </sheetView>
  </sheetViews>
  <sheetFormatPr defaultColWidth="9.109375" defaultRowHeight="15.6" x14ac:dyDescent="0.3"/>
  <cols>
    <col min="1" max="1" width="22.6640625" style="1" customWidth="1"/>
    <col min="2" max="2" width="13" style="1" customWidth="1"/>
    <col min="3" max="3" width="17.44140625" style="1" customWidth="1"/>
    <col min="4" max="4" width="20.88671875" style="1" customWidth="1"/>
    <col min="5" max="5" width="26.6640625" style="1" customWidth="1"/>
    <col min="6" max="7" width="17.44140625" style="1" customWidth="1"/>
    <col min="8" max="8" width="25.109375" style="1" customWidth="1"/>
    <col min="9" max="9" width="17.5546875" style="1" bestFit="1" customWidth="1"/>
    <col min="10" max="16384" width="9.109375" style="1"/>
  </cols>
  <sheetData>
    <row r="1" spans="1:8" ht="26.25" customHeight="1" x14ac:dyDescent="0.4">
      <c r="A1" s="98" t="s">
        <v>0</v>
      </c>
      <c r="B1" s="98"/>
      <c r="C1" s="98"/>
      <c r="D1" s="98"/>
      <c r="E1" s="98"/>
      <c r="F1" s="98"/>
      <c r="G1" s="98"/>
      <c r="H1" s="98"/>
    </row>
    <row r="2" spans="1:8" ht="27" customHeight="1" thickBot="1" x14ac:dyDescent="0.45">
      <c r="A2" s="99" t="s">
        <v>24</v>
      </c>
      <c r="B2" s="99"/>
      <c r="C2" s="99"/>
      <c r="D2" s="99"/>
      <c r="E2" s="99"/>
      <c r="F2" s="99"/>
      <c r="G2" s="99"/>
      <c r="H2" s="99"/>
    </row>
    <row r="3" spans="1:8" ht="16.2" thickTop="1" x14ac:dyDescent="0.3">
      <c r="A3" s="100" t="s">
        <v>1</v>
      </c>
      <c r="B3" s="102" t="s">
        <v>2</v>
      </c>
      <c r="C3" s="8" t="s">
        <v>3</v>
      </c>
      <c r="D3" s="104" t="s">
        <v>5</v>
      </c>
      <c r="E3" s="9" t="s">
        <v>6</v>
      </c>
      <c r="F3" s="8" t="s">
        <v>8</v>
      </c>
      <c r="G3" s="59" t="s">
        <v>10</v>
      </c>
      <c r="H3" s="108" t="s">
        <v>25</v>
      </c>
    </row>
    <row r="4" spans="1:8" x14ac:dyDescent="0.3">
      <c r="A4" s="112"/>
      <c r="B4" s="103"/>
      <c r="C4" s="10" t="s">
        <v>4</v>
      </c>
      <c r="D4" s="105"/>
      <c r="E4" s="11" t="s">
        <v>7</v>
      </c>
      <c r="F4" s="10" t="s">
        <v>9</v>
      </c>
      <c r="G4" s="45" t="s">
        <v>23</v>
      </c>
      <c r="H4" s="109"/>
    </row>
    <row r="5" spans="1:8" x14ac:dyDescent="0.3">
      <c r="A5" s="3"/>
      <c r="B5" s="5">
        <v>1</v>
      </c>
      <c r="C5" s="7">
        <v>14793</v>
      </c>
      <c r="D5" s="7">
        <v>34141119</v>
      </c>
      <c r="E5" s="12"/>
      <c r="F5" s="2"/>
      <c r="G5" s="46"/>
      <c r="H5" s="114">
        <f>D17/12</f>
        <v>63970867.25</v>
      </c>
    </row>
    <row r="6" spans="1:8" x14ac:dyDescent="0.3">
      <c r="A6" s="4"/>
      <c r="B6" s="5">
        <v>2</v>
      </c>
      <c r="C6" s="7">
        <v>7272</v>
      </c>
      <c r="D6" s="7">
        <v>16638553</v>
      </c>
      <c r="E6" s="13">
        <f>D6-D5</f>
        <v>-17502566</v>
      </c>
      <c r="F6" s="2"/>
      <c r="G6" s="47"/>
      <c r="H6" s="114"/>
    </row>
    <row r="7" spans="1:8" x14ac:dyDescent="0.3">
      <c r="A7" s="4" t="s">
        <v>11</v>
      </c>
      <c r="B7" s="5">
        <v>3</v>
      </c>
      <c r="C7" s="7">
        <v>18226</v>
      </c>
      <c r="D7" s="7">
        <v>43127612</v>
      </c>
      <c r="E7" s="14">
        <f t="shared" ref="E7:E13" si="0">D7-D6</f>
        <v>26489059</v>
      </c>
      <c r="F7" s="7">
        <v>43600</v>
      </c>
      <c r="G7" s="48">
        <f t="shared" ref="G7:G11" si="1">D7/F7</f>
        <v>989.16541284403672</v>
      </c>
      <c r="H7" s="114"/>
    </row>
    <row r="8" spans="1:8" x14ac:dyDescent="0.3">
      <c r="A8" s="4" t="s">
        <v>12</v>
      </c>
      <c r="B8" s="5">
        <v>4</v>
      </c>
      <c r="C8" s="7">
        <v>24008</v>
      </c>
      <c r="D8" s="7">
        <v>58069286</v>
      </c>
      <c r="E8" s="14">
        <f t="shared" si="0"/>
        <v>14941674</v>
      </c>
      <c r="F8" s="7">
        <v>94833</v>
      </c>
      <c r="G8" s="48">
        <f t="shared" si="1"/>
        <v>612.33205740617723</v>
      </c>
      <c r="H8" s="114"/>
    </row>
    <row r="9" spans="1:8" x14ac:dyDescent="0.3">
      <c r="A9" s="4" t="s">
        <v>13</v>
      </c>
      <c r="B9" s="5">
        <v>5</v>
      </c>
      <c r="C9" s="7">
        <v>30866</v>
      </c>
      <c r="D9" s="7">
        <v>75481615</v>
      </c>
      <c r="E9" s="14">
        <f t="shared" si="0"/>
        <v>17412329</v>
      </c>
      <c r="F9" s="7">
        <v>116708</v>
      </c>
      <c r="G9" s="48">
        <f t="shared" si="1"/>
        <v>646.7561349693251</v>
      </c>
      <c r="H9" s="114"/>
    </row>
    <row r="10" spans="1:8" x14ac:dyDescent="0.3">
      <c r="A10" s="4" t="s">
        <v>14</v>
      </c>
      <c r="B10" s="5">
        <v>6</v>
      </c>
      <c r="C10" s="7">
        <v>29085</v>
      </c>
      <c r="D10" s="7">
        <v>70406242</v>
      </c>
      <c r="E10" s="13">
        <f t="shared" si="0"/>
        <v>-5075373</v>
      </c>
      <c r="F10" s="7">
        <v>145319</v>
      </c>
      <c r="G10" s="48">
        <f t="shared" si="1"/>
        <v>484.49440197083658</v>
      </c>
      <c r="H10" s="114"/>
    </row>
    <row r="11" spans="1:8" x14ac:dyDescent="0.3">
      <c r="A11" s="4" t="s">
        <v>15</v>
      </c>
      <c r="B11" s="5">
        <v>7</v>
      </c>
      <c r="C11" s="7">
        <v>33508</v>
      </c>
      <c r="D11" s="7">
        <v>80715428</v>
      </c>
      <c r="E11" s="14">
        <f t="shared" si="0"/>
        <v>10309186</v>
      </c>
      <c r="F11" s="7">
        <v>153948</v>
      </c>
      <c r="G11" s="48">
        <f t="shared" si="1"/>
        <v>524.30319328604469</v>
      </c>
      <c r="H11" s="114"/>
    </row>
    <row r="12" spans="1:8" x14ac:dyDescent="0.3">
      <c r="A12" s="4"/>
      <c r="B12" s="5">
        <v>8</v>
      </c>
      <c r="C12" s="7">
        <v>36161</v>
      </c>
      <c r="D12" s="7">
        <v>88176010</v>
      </c>
      <c r="E12" s="14">
        <f t="shared" si="0"/>
        <v>7460582</v>
      </c>
      <c r="F12" s="7">
        <v>172604</v>
      </c>
      <c r="G12" s="48">
        <f>D12/F12</f>
        <v>510.85728024842996</v>
      </c>
      <c r="H12" s="114"/>
    </row>
    <row r="13" spans="1:8" x14ac:dyDescent="0.3">
      <c r="A13" s="4"/>
      <c r="B13" s="5">
        <v>9</v>
      </c>
      <c r="C13" s="7">
        <v>27696</v>
      </c>
      <c r="D13" s="7">
        <v>66682272</v>
      </c>
      <c r="E13" s="13">
        <f t="shared" si="0"/>
        <v>-21493738</v>
      </c>
      <c r="F13" s="7">
        <v>151936</v>
      </c>
      <c r="G13" s="48">
        <f>D13/F13</f>
        <v>438.88395113732099</v>
      </c>
      <c r="H13" s="114"/>
    </row>
    <row r="14" spans="1:8" x14ac:dyDescent="0.3">
      <c r="A14" s="28"/>
      <c r="B14" s="6">
        <v>10</v>
      </c>
      <c r="C14" s="7">
        <v>30483</v>
      </c>
      <c r="D14" s="7">
        <v>76198456</v>
      </c>
      <c r="E14" s="26">
        <f>D14-D13</f>
        <v>9516184</v>
      </c>
      <c r="F14" s="7">
        <v>146434</v>
      </c>
      <c r="G14" s="48">
        <f>D14/F14</f>
        <v>520.36040810194356</v>
      </c>
      <c r="H14" s="114"/>
    </row>
    <row r="15" spans="1:8" x14ac:dyDescent="0.3">
      <c r="A15" s="28"/>
      <c r="B15" s="5">
        <v>11</v>
      </c>
      <c r="C15" s="7">
        <v>31653</v>
      </c>
      <c r="D15" s="7">
        <v>80343935</v>
      </c>
      <c r="E15" s="26">
        <f>D15-D14</f>
        <v>4145479</v>
      </c>
      <c r="F15" s="30">
        <v>183985</v>
      </c>
      <c r="G15" s="49">
        <f>D15/F15</f>
        <v>436.68742017012255</v>
      </c>
      <c r="H15" s="114"/>
    </row>
    <row r="16" spans="1:8" x14ac:dyDescent="0.3">
      <c r="A16" s="28"/>
      <c r="B16" s="5">
        <v>12</v>
      </c>
      <c r="C16" s="7">
        <v>25666</v>
      </c>
      <c r="D16" s="7">
        <f>14291857+63378022</f>
        <v>77669879</v>
      </c>
      <c r="E16" s="41">
        <f>D16-D15</f>
        <v>-2674056</v>
      </c>
      <c r="F16" s="7">
        <v>150440</v>
      </c>
      <c r="G16" s="49">
        <f>D16/F16</f>
        <v>516.28475804307368</v>
      </c>
      <c r="H16" s="114"/>
    </row>
    <row r="17" spans="1:8" ht="18" thickBot="1" x14ac:dyDescent="0.35">
      <c r="A17" s="113" t="s">
        <v>16</v>
      </c>
      <c r="B17" s="93"/>
      <c r="C17" s="15">
        <f>SUM(C5:C16)</f>
        <v>309417</v>
      </c>
      <c r="D17" s="15">
        <f>SUM(D5:D16)</f>
        <v>767650407</v>
      </c>
      <c r="E17" s="16"/>
      <c r="F17" s="17"/>
      <c r="G17" s="50"/>
      <c r="H17" s="115"/>
    </row>
    <row r="18" spans="1:8" ht="26.25" customHeight="1" thickTop="1" x14ac:dyDescent="0.4">
      <c r="A18" s="98" t="s">
        <v>0</v>
      </c>
      <c r="B18" s="98"/>
      <c r="C18" s="98"/>
      <c r="D18" s="98"/>
      <c r="E18" s="98"/>
      <c r="F18" s="98"/>
      <c r="G18" s="98"/>
      <c r="H18" s="98"/>
    </row>
    <row r="19" spans="1:8" ht="27" customHeight="1" thickBot="1" x14ac:dyDescent="0.45">
      <c r="A19" s="99" t="s">
        <v>24</v>
      </c>
      <c r="B19" s="99"/>
      <c r="C19" s="99"/>
      <c r="D19" s="99"/>
      <c r="E19" s="99"/>
      <c r="F19" s="99"/>
      <c r="G19" s="99"/>
      <c r="H19" s="99"/>
    </row>
    <row r="20" spans="1:8" ht="16.2" thickTop="1" x14ac:dyDescent="0.3">
      <c r="A20" s="100" t="s">
        <v>1</v>
      </c>
      <c r="B20" s="102" t="s">
        <v>2</v>
      </c>
      <c r="C20" s="8" t="s">
        <v>3</v>
      </c>
      <c r="D20" s="104" t="s">
        <v>5</v>
      </c>
      <c r="E20" s="9" t="s">
        <v>6</v>
      </c>
      <c r="F20" s="8" t="s">
        <v>8</v>
      </c>
      <c r="G20" s="54" t="s">
        <v>10</v>
      </c>
      <c r="H20" s="108" t="s">
        <v>25</v>
      </c>
    </row>
    <row r="21" spans="1:8" x14ac:dyDescent="0.3">
      <c r="A21" s="112"/>
      <c r="B21" s="103"/>
      <c r="C21" s="10" t="s">
        <v>4</v>
      </c>
      <c r="D21" s="105"/>
      <c r="E21" s="11" t="s">
        <v>7</v>
      </c>
      <c r="F21" s="10" t="s">
        <v>9</v>
      </c>
      <c r="G21" s="40" t="s">
        <v>23</v>
      </c>
      <c r="H21" s="109"/>
    </row>
    <row r="22" spans="1:8" x14ac:dyDescent="0.3">
      <c r="A22" s="3"/>
      <c r="B22" s="5">
        <v>1</v>
      </c>
      <c r="C22" s="7">
        <v>31213</v>
      </c>
      <c r="D22" s="7">
        <v>71805865</v>
      </c>
      <c r="E22" s="12"/>
      <c r="F22" s="2"/>
      <c r="G22" s="46"/>
      <c r="H22" s="116">
        <f>D34/12</f>
        <v>98254539.333333328</v>
      </c>
    </row>
    <row r="23" spans="1:8" x14ac:dyDescent="0.3">
      <c r="A23" s="4"/>
      <c r="B23" s="5">
        <v>2</v>
      </c>
      <c r="C23" s="7">
        <v>13265</v>
      </c>
      <c r="D23" s="7">
        <v>30554971</v>
      </c>
      <c r="E23" s="13">
        <f>D23-D22</f>
        <v>-41250894</v>
      </c>
      <c r="F23" s="2"/>
      <c r="G23" s="51"/>
      <c r="H23" s="117"/>
    </row>
    <row r="24" spans="1:8" x14ac:dyDescent="0.3">
      <c r="A24" s="4"/>
      <c r="B24" s="5">
        <v>3</v>
      </c>
      <c r="C24" s="7">
        <v>35072</v>
      </c>
      <c r="D24" s="7">
        <v>81394597</v>
      </c>
      <c r="E24" s="14">
        <f t="shared" ref="E24:E30" si="2">D24-D23</f>
        <v>50839626</v>
      </c>
      <c r="F24" s="7">
        <v>51939</v>
      </c>
      <c r="G24" s="51">
        <f t="shared" ref="G24:G28" si="3">D24/F24</f>
        <v>1567.1190627466835</v>
      </c>
      <c r="H24" s="117"/>
    </row>
    <row r="25" spans="1:8" x14ac:dyDescent="0.3">
      <c r="A25" s="4" t="s">
        <v>17</v>
      </c>
      <c r="B25" s="5">
        <v>4</v>
      </c>
      <c r="C25" s="7">
        <v>37275</v>
      </c>
      <c r="D25" s="7">
        <v>87920991</v>
      </c>
      <c r="E25" s="14">
        <f t="shared" si="2"/>
        <v>6526394</v>
      </c>
      <c r="F25" s="7">
        <v>94501</v>
      </c>
      <c r="G25" s="51">
        <f t="shared" si="3"/>
        <v>930.37101194696356</v>
      </c>
      <c r="H25" s="117"/>
    </row>
    <row r="26" spans="1:8" x14ac:dyDescent="0.3">
      <c r="A26" s="4" t="s">
        <v>18</v>
      </c>
      <c r="B26" s="5">
        <v>5</v>
      </c>
      <c r="C26" s="7">
        <v>47965</v>
      </c>
      <c r="D26" s="7">
        <v>115036339</v>
      </c>
      <c r="E26" s="14">
        <f t="shared" si="2"/>
        <v>27115348</v>
      </c>
      <c r="F26" s="7">
        <v>133717</v>
      </c>
      <c r="G26" s="51">
        <f t="shared" si="3"/>
        <v>860.29703777380587</v>
      </c>
      <c r="H26" s="117"/>
    </row>
    <row r="27" spans="1:8" x14ac:dyDescent="0.3">
      <c r="A27" s="4" t="s">
        <v>19</v>
      </c>
      <c r="B27" s="5">
        <v>6</v>
      </c>
      <c r="C27" s="7">
        <v>52105</v>
      </c>
      <c r="D27" s="7">
        <v>124736263</v>
      </c>
      <c r="E27" s="14">
        <f t="shared" si="2"/>
        <v>9699924</v>
      </c>
      <c r="F27" s="7">
        <v>137646</v>
      </c>
      <c r="G27" s="51">
        <f t="shared" si="3"/>
        <v>906.21059093616964</v>
      </c>
      <c r="H27" s="117"/>
    </row>
    <row r="28" spans="1:8" x14ac:dyDescent="0.3">
      <c r="A28" s="4" t="s">
        <v>20</v>
      </c>
      <c r="B28" s="5">
        <v>7</v>
      </c>
      <c r="C28" s="7">
        <v>54929</v>
      </c>
      <c r="D28" s="7">
        <f>1464468+130756076</f>
        <v>132220544</v>
      </c>
      <c r="E28" s="14">
        <f t="shared" si="2"/>
        <v>7484281</v>
      </c>
      <c r="F28" s="7">
        <v>170394</v>
      </c>
      <c r="G28" s="51">
        <f t="shared" si="3"/>
        <v>775.96948249351499</v>
      </c>
      <c r="H28" s="117"/>
    </row>
    <row r="29" spans="1:8" x14ac:dyDescent="0.3">
      <c r="A29" s="4"/>
      <c r="B29" s="5">
        <v>8</v>
      </c>
      <c r="C29" s="7">
        <v>52576</v>
      </c>
      <c r="D29" s="7">
        <f>4344468+125914116</f>
        <v>130258584</v>
      </c>
      <c r="E29" s="13">
        <f t="shared" si="2"/>
        <v>-1961960</v>
      </c>
      <c r="F29" s="7">
        <v>169874</v>
      </c>
      <c r="G29" s="51">
        <f>D29/F29</f>
        <v>766.79529533654352</v>
      </c>
      <c r="H29" s="117"/>
    </row>
    <row r="30" spans="1:8" x14ac:dyDescent="0.3">
      <c r="A30" s="4"/>
      <c r="B30" s="5">
        <v>9</v>
      </c>
      <c r="C30" s="7">
        <v>47198</v>
      </c>
      <c r="D30" s="7">
        <v>112177188</v>
      </c>
      <c r="E30" s="13">
        <f t="shared" si="2"/>
        <v>-18081396</v>
      </c>
      <c r="F30" s="7">
        <v>148646</v>
      </c>
      <c r="G30" s="51">
        <f>D30/F30</f>
        <v>754.65998412335352</v>
      </c>
      <c r="H30" s="117"/>
    </row>
    <row r="31" spans="1:8" x14ac:dyDescent="0.3">
      <c r="A31" s="38"/>
      <c r="B31" s="29">
        <v>10</v>
      </c>
      <c r="C31" s="30">
        <v>44666</v>
      </c>
      <c r="D31" s="31">
        <v>109474025</v>
      </c>
      <c r="E31" s="19">
        <f>D31-D30</f>
        <v>-2703163</v>
      </c>
      <c r="F31" s="7">
        <v>149353</v>
      </c>
      <c r="G31" s="52">
        <f>D31/F31</f>
        <v>732.98845687733092</v>
      </c>
      <c r="H31" s="117"/>
    </row>
    <row r="32" spans="1:8" x14ac:dyDescent="0.3">
      <c r="A32" s="38"/>
      <c r="B32" s="37">
        <v>11</v>
      </c>
      <c r="C32" s="7">
        <v>35243</v>
      </c>
      <c r="D32" s="18">
        <f>37939121+49589213</f>
        <v>87528334</v>
      </c>
      <c r="E32" s="32">
        <f>D32-D31</f>
        <v>-21945691</v>
      </c>
      <c r="F32" s="30">
        <v>176808</v>
      </c>
      <c r="G32" s="53">
        <f>D32/F32</f>
        <v>495.04736211031172</v>
      </c>
      <c r="H32" s="117"/>
    </row>
    <row r="33" spans="1:8" x14ac:dyDescent="0.3">
      <c r="A33" s="10"/>
      <c r="B33" s="29">
        <v>12</v>
      </c>
      <c r="C33" s="30">
        <v>21137</v>
      </c>
      <c r="D33" s="31">
        <f>(73532034+50998451)-28583714</f>
        <v>95946771</v>
      </c>
      <c r="E33" s="42">
        <f>D33-D32</f>
        <v>8418437</v>
      </c>
      <c r="F33" s="30">
        <v>153053</v>
      </c>
      <c r="G33" s="53">
        <f>D33/F33</f>
        <v>626.88592187020186</v>
      </c>
      <c r="H33" s="117"/>
    </row>
    <row r="34" spans="1:8" ht="18" thickBot="1" x14ac:dyDescent="0.35">
      <c r="A34" s="113" t="s">
        <v>16</v>
      </c>
      <c r="B34" s="93"/>
      <c r="C34" s="15">
        <f>SUM(C22:C33)</f>
        <v>472644</v>
      </c>
      <c r="D34" s="15">
        <f>SUM(D22:D33)</f>
        <v>1179054472</v>
      </c>
      <c r="E34" s="16"/>
      <c r="F34" s="17"/>
      <c r="G34" s="50"/>
      <c r="H34" s="118"/>
    </row>
    <row r="35" spans="1:8" ht="26.25" customHeight="1" thickTop="1" x14ac:dyDescent="0.4">
      <c r="A35" s="98" t="s">
        <v>0</v>
      </c>
      <c r="B35" s="98"/>
      <c r="C35" s="98"/>
      <c r="D35" s="98"/>
      <c r="E35" s="98"/>
      <c r="F35" s="98"/>
      <c r="G35" s="98"/>
      <c r="H35" s="98"/>
    </row>
    <row r="36" spans="1:8" ht="27" customHeight="1" thickBot="1" x14ac:dyDescent="0.45">
      <c r="A36" s="99" t="s">
        <v>24</v>
      </c>
      <c r="B36" s="99"/>
      <c r="C36" s="99"/>
      <c r="D36" s="99"/>
      <c r="E36" s="99"/>
      <c r="F36" s="99"/>
      <c r="G36" s="99"/>
      <c r="H36" s="99"/>
    </row>
    <row r="37" spans="1:8" ht="16.2" thickTop="1" x14ac:dyDescent="0.3">
      <c r="A37" s="100" t="s">
        <v>1</v>
      </c>
      <c r="B37" s="102" t="s">
        <v>2</v>
      </c>
      <c r="C37" s="8" t="s">
        <v>3</v>
      </c>
      <c r="D37" s="104" t="s">
        <v>5</v>
      </c>
      <c r="E37" s="9" t="s">
        <v>6</v>
      </c>
      <c r="F37" s="8" t="s">
        <v>8</v>
      </c>
      <c r="G37" s="44" t="s">
        <v>10</v>
      </c>
      <c r="H37" s="108" t="s">
        <v>25</v>
      </c>
    </row>
    <row r="38" spans="1:8" x14ac:dyDescent="0.3">
      <c r="A38" s="112"/>
      <c r="B38" s="103"/>
      <c r="C38" s="10" t="s">
        <v>4</v>
      </c>
      <c r="D38" s="105"/>
      <c r="E38" s="11" t="s">
        <v>7</v>
      </c>
      <c r="F38" s="10" t="s">
        <v>9</v>
      </c>
      <c r="G38" s="45" t="s">
        <v>23</v>
      </c>
      <c r="H38" s="109"/>
    </row>
    <row r="39" spans="1:8" x14ac:dyDescent="0.3">
      <c r="A39" s="88" t="s">
        <v>21</v>
      </c>
      <c r="B39" s="5">
        <v>1</v>
      </c>
      <c r="C39" s="7">
        <v>38000</v>
      </c>
      <c r="D39" s="7">
        <v>79903800</v>
      </c>
      <c r="E39" s="7"/>
      <c r="F39" s="2"/>
      <c r="G39" s="52"/>
      <c r="H39" s="117">
        <f>D51/12</f>
        <v>129122128.41666667</v>
      </c>
    </row>
    <row r="40" spans="1:8" x14ac:dyDescent="0.3">
      <c r="A40" s="88"/>
      <c r="B40" s="5">
        <v>2</v>
      </c>
      <c r="C40" s="7">
        <v>27200</v>
      </c>
      <c r="D40" s="7">
        <v>58039092</v>
      </c>
      <c r="E40" s="22">
        <f>D40-D39</f>
        <v>-21864708</v>
      </c>
      <c r="F40" s="2"/>
      <c r="G40" s="55"/>
      <c r="H40" s="117"/>
    </row>
    <row r="41" spans="1:8" x14ac:dyDescent="0.3">
      <c r="A41" s="88"/>
      <c r="B41" s="5">
        <v>3</v>
      </c>
      <c r="C41" s="7">
        <v>33400</v>
      </c>
      <c r="D41" s="7">
        <v>69920496</v>
      </c>
      <c r="E41" s="23">
        <f t="shared" ref="E41:E47" si="4">D41-D40</f>
        <v>11881404</v>
      </c>
      <c r="F41" s="7">
        <v>61007</v>
      </c>
      <c r="G41" s="56">
        <f t="shared" ref="G41:G45" si="5">D41/F41</f>
        <v>1146.1061189699542</v>
      </c>
      <c r="H41" s="117"/>
    </row>
    <row r="42" spans="1:8" x14ac:dyDescent="0.3">
      <c r="A42" s="88"/>
      <c r="B42" s="5">
        <v>4</v>
      </c>
      <c r="C42" s="7">
        <v>37500</v>
      </c>
      <c r="D42" s="7">
        <v>78387372</v>
      </c>
      <c r="E42" s="23">
        <f t="shared" si="4"/>
        <v>8466876</v>
      </c>
      <c r="F42" s="7">
        <v>74892</v>
      </c>
      <c r="G42" s="56">
        <f t="shared" si="5"/>
        <v>1046.6721679218074</v>
      </c>
      <c r="H42" s="117"/>
    </row>
    <row r="43" spans="1:8" x14ac:dyDescent="0.3">
      <c r="A43" s="88"/>
      <c r="B43" s="5">
        <v>5</v>
      </c>
      <c r="C43" s="7">
        <v>55300</v>
      </c>
      <c r="D43" s="7">
        <v>121545252</v>
      </c>
      <c r="E43" s="23">
        <f t="shared" si="4"/>
        <v>43157880</v>
      </c>
      <c r="F43" s="24">
        <v>67092</v>
      </c>
      <c r="G43" s="56">
        <f t="shared" si="5"/>
        <v>1811.6206403147917</v>
      </c>
      <c r="H43" s="117"/>
    </row>
    <row r="44" spans="1:8" x14ac:dyDescent="0.3">
      <c r="A44" s="88"/>
      <c r="B44" s="5">
        <v>6</v>
      </c>
      <c r="C44" s="7">
        <v>52000</v>
      </c>
      <c r="D44" s="7">
        <v>113660820</v>
      </c>
      <c r="E44" s="22">
        <f t="shared" si="4"/>
        <v>-7884432</v>
      </c>
      <c r="F44" s="21">
        <v>69808</v>
      </c>
      <c r="G44" s="56">
        <f t="shared" si="5"/>
        <v>1628.1918977767591</v>
      </c>
      <c r="H44" s="117"/>
    </row>
    <row r="45" spans="1:8" x14ac:dyDescent="0.3">
      <c r="A45" s="88"/>
      <c r="B45" s="5">
        <v>7</v>
      </c>
      <c r="C45" s="7">
        <v>49800</v>
      </c>
      <c r="D45" s="7">
        <v>104556960</v>
      </c>
      <c r="E45" s="22">
        <f t="shared" si="4"/>
        <v>-9103860</v>
      </c>
      <c r="F45" s="21">
        <v>41792</v>
      </c>
      <c r="G45" s="56">
        <f t="shared" si="5"/>
        <v>2501.8415007656968</v>
      </c>
      <c r="H45" s="117"/>
    </row>
    <row r="46" spans="1:8" x14ac:dyDescent="0.3">
      <c r="A46" s="88"/>
      <c r="B46" s="5">
        <v>8</v>
      </c>
      <c r="C46" s="7">
        <v>62100</v>
      </c>
      <c r="D46" s="7">
        <v>132246468</v>
      </c>
      <c r="E46" s="25">
        <f t="shared" si="4"/>
        <v>27689508</v>
      </c>
      <c r="F46" s="24">
        <v>51266</v>
      </c>
      <c r="G46" s="56">
        <f>D46/F46</f>
        <v>2579.6135450395973</v>
      </c>
      <c r="H46" s="117"/>
    </row>
    <row r="47" spans="1:8" x14ac:dyDescent="0.3">
      <c r="A47" s="88"/>
      <c r="B47" s="5">
        <v>9</v>
      </c>
      <c r="C47" s="7">
        <v>49300</v>
      </c>
      <c r="D47" s="7">
        <v>104822856</v>
      </c>
      <c r="E47" s="22">
        <f t="shared" si="4"/>
        <v>-27423612</v>
      </c>
      <c r="F47" s="21">
        <v>58625</v>
      </c>
      <c r="G47" s="56">
        <f>D47/F47</f>
        <v>1788.0231300639659</v>
      </c>
      <c r="H47" s="117"/>
    </row>
    <row r="48" spans="1:8" x14ac:dyDescent="0.3">
      <c r="A48" s="88"/>
      <c r="B48" s="5">
        <v>10</v>
      </c>
      <c r="C48" s="7">
        <v>87100</v>
      </c>
      <c r="D48" s="7">
        <v>196743136</v>
      </c>
      <c r="E48" s="26">
        <f>D48-D47</f>
        <v>91920280</v>
      </c>
      <c r="F48" s="24">
        <v>78900</v>
      </c>
      <c r="G48" s="56">
        <f>D48/F48</f>
        <v>2493.5758681875791</v>
      </c>
      <c r="H48" s="117"/>
    </row>
    <row r="49" spans="1:9" x14ac:dyDescent="0.3">
      <c r="A49" s="88"/>
      <c r="B49" s="6">
        <v>11</v>
      </c>
      <c r="C49" s="30">
        <v>111595</v>
      </c>
      <c r="D49" s="30">
        <v>259111502</v>
      </c>
      <c r="E49" s="33">
        <f>D49-D48</f>
        <v>62368366</v>
      </c>
      <c r="F49" s="34">
        <v>88344</v>
      </c>
      <c r="G49" s="57">
        <f>D49/F49</f>
        <v>2932.9835868876212</v>
      </c>
      <c r="H49" s="117"/>
    </row>
    <row r="50" spans="1:9" ht="16.2" thickBot="1" x14ac:dyDescent="0.35">
      <c r="A50" s="39"/>
      <c r="B50" s="6">
        <v>12</v>
      </c>
      <c r="C50" s="30">
        <v>93655</v>
      </c>
      <c r="D50" s="30">
        <f>216235930+14291857</f>
        <v>230527787</v>
      </c>
      <c r="E50" s="43">
        <f>D50-D49</f>
        <v>-28583715</v>
      </c>
      <c r="F50" s="34">
        <v>107591</v>
      </c>
      <c r="G50" s="57">
        <f>D50/F50</f>
        <v>2142.6307683728191</v>
      </c>
      <c r="H50" s="117"/>
    </row>
    <row r="51" spans="1:9" ht="18.600000000000001" thickTop="1" thickBot="1" x14ac:dyDescent="0.35">
      <c r="A51" s="96" t="s">
        <v>16</v>
      </c>
      <c r="B51" s="97"/>
      <c r="C51" s="15">
        <f>SUM(C39:C50)</f>
        <v>696950</v>
      </c>
      <c r="D51" s="15">
        <f>SUM(D39:D50)</f>
        <v>1549465541</v>
      </c>
      <c r="E51" s="17"/>
      <c r="F51" s="17"/>
      <c r="G51" s="50"/>
      <c r="H51" s="118"/>
    </row>
    <row r="52" spans="1:9" ht="26.25" customHeight="1" thickTop="1" x14ac:dyDescent="0.4">
      <c r="A52" s="98" t="s">
        <v>0</v>
      </c>
      <c r="B52" s="98"/>
      <c r="C52" s="98"/>
      <c r="D52" s="98"/>
      <c r="E52" s="98"/>
      <c r="F52" s="98"/>
      <c r="G52" s="98"/>
      <c r="H52" s="98"/>
    </row>
    <row r="53" spans="1:9" ht="27" customHeight="1" thickBot="1" x14ac:dyDescent="0.45">
      <c r="A53" s="99" t="s">
        <v>24</v>
      </c>
      <c r="B53" s="99"/>
      <c r="C53" s="99"/>
      <c r="D53" s="99"/>
      <c r="E53" s="99"/>
      <c r="F53" s="99"/>
      <c r="G53" s="99"/>
      <c r="H53" s="99"/>
    </row>
    <row r="54" spans="1:9" ht="16.5" customHeight="1" thickTop="1" x14ac:dyDescent="0.3">
      <c r="A54" s="100" t="s">
        <v>1</v>
      </c>
      <c r="B54" s="102" t="s">
        <v>2</v>
      </c>
      <c r="C54" s="8" t="s">
        <v>3</v>
      </c>
      <c r="D54" s="104" t="s">
        <v>5</v>
      </c>
      <c r="E54" s="9" t="s">
        <v>6</v>
      </c>
      <c r="F54" s="8" t="s">
        <v>8</v>
      </c>
      <c r="G54" s="106" t="s">
        <v>10</v>
      </c>
      <c r="H54" s="108" t="s">
        <v>25</v>
      </c>
    </row>
    <row r="55" spans="1:9" x14ac:dyDescent="0.3">
      <c r="A55" s="112"/>
      <c r="B55" s="103"/>
      <c r="C55" s="10" t="s">
        <v>4</v>
      </c>
      <c r="D55" s="105"/>
      <c r="E55" s="11" t="s">
        <v>7</v>
      </c>
      <c r="F55" s="10" t="s">
        <v>9</v>
      </c>
      <c r="G55" s="107"/>
      <c r="H55" s="109"/>
    </row>
    <row r="56" spans="1:9" x14ac:dyDescent="0.3">
      <c r="A56" s="101" t="s">
        <v>22</v>
      </c>
      <c r="B56" s="37">
        <v>9</v>
      </c>
      <c r="C56" s="7">
        <v>1258</v>
      </c>
      <c r="D56" s="7">
        <v>2940799</v>
      </c>
      <c r="E56" s="13"/>
      <c r="F56" s="2"/>
      <c r="G56" s="46"/>
      <c r="H56" s="116">
        <f>D60/4</f>
        <v>4034968.25</v>
      </c>
    </row>
    <row r="57" spans="1:9" x14ac:dyDescent="0.3">
      <c r="A57" s="88"/>
      <c r="B57" s="29">
        <v>10</v>
      </c>
      <c r="C57" s="7">
        <v>1985</v>
      </c>
      <c r="D57" s="7">
        <v>4802501</v>
      </c>
      <c r="E57" s="20">
        <f>D57-D56</f>
        <v>1861702</v>
      </c>
      <c r="F57" s="2"/>
      <c r="G57" s="46"/>
      <c r="H57" s="117"/>
    </row>
    <row r="58" spans="1:9" x14ac:dyDescent="0.3">
      <c r="A58" s="88"/>
      <c r="B58" s="29">
        <v>11</v>
      </c>
      <c r="C58" s="30">
        <v>1762</v>
      </c>
      <c r="D58" s="30">
        <v>4311317</v>
      </c>
      <c r="E58" s="36">
        <f>D58-D56</f>
        <v>1370518</v>
      </c>
      <c r="F58" s="35"/>
      <c r="G58" s="58"/>
      <c r="H58" s="117"/>
      <c r="I58" s="27"/>
    </row>
    <row r="59" spans="1:9" x14ac:dyDescent="0.3">
      <c r="A59" s="119"/>
      <c r="B59" s="29">
        <v>12</v>
      </c>
      <c r="C59" s="30">
        <v>1672</v>
      </c>
      <c r="D59" s="30">
        <v>4085256</v>
      </c>
      <c r="E59" s="36">
        <f>D59-D57</f>
        <v>-717245</v>
      </c>
      <c r="F59" s="35"/>
      <c r="G59" s="58"/>
      <c r="H59" s="117"/>
    </row>
    <row r="60" spans="1:9" ht="18" thickBot="1" x14ac:dyDescent="0.35">
      <c r="A60" s="92" t="s">
        <v>16</v>
      </c>
      <c r="B60" s="93"/>
      <c r="C60" s="15">
        <f>SUM(C56:C57)</f>
        <v>3243</v>
      </c>
      <c r="D60" s="15">
        <f>SUM(D56:D59)</f>
        <v>16139873</v>
      </c>
      <c r="E60" s="16"/>
      <c r="F60" s="17"/>
      <c r="G60" s="50"/>
      <c r="H60" s="118"/>
    </row>
    <row r="61" spans="1:9" ht="16.8" thickTop="1" thickBot="1" x14ac:dyDescent="0.35"/>
    <row r="62" spans="1:9" s="60" customFormat="1" ht="40.5" customHeight="1" thickTop="1" thickBot="1" x14ac:dyDescent="0.35">
      <c r="A62" s="94" t="s">
        <v>26</v>
      </c>
      <c r="B62" s="95"/>
      <c r="C62" s="95"/>
      <c r="D62" s="95"/>
      <c r="E62" s="95"/>
      <c r="F62" s="95"/>
      <c r="G62" s="95"/>
      <c r="H62" s="61">
        <f>H56+H39+H22+H5</f>
        <v>295382503.25</v>
      </c>
    </row>
    <row r="63" spans="1:9" ht="16.8" thickTop="1" thickBot="1" x14ac:dyDescent="0.35"/>
    <row r="64" spans="1:9" s="60" customFormat="1" ht="40.5" customHeight="1" thickTop="1" thickBot="1" x14ac:dyDescent="0.35">
      <c r="A64" s="94" t="s">
        <v>27</v>
      </c>
      <c r="B64" s="95"/>
      <c r="C64" s="95"/>
      <c r="D64" s="95"/>
      <c r="E64" s="95"/>
      <c r="F64" s="95"/>
      <c r="G64" s="95"/>
      <c r="H64" s="61">
        <f>D60+D51+D34+D17</f>
        <v>3512310293</v>
      </c>
    </row>
    <row r="65" spans="8:8" ht="16.2" thickTop="1" x14ac:dyDescent="0.3"/>
    <row r="68" spans="8:8" x14ac:dyDescent="0.3">
      <c r="H68" s="27">
        <f>H5+H22+H39+H56</f>
        <v>295382503.25</v>
      </c>
    </row>
  </sheetData>
  <mergeCells count="37">
    <mergeCell ref="A62:G62"/>
    <mergeCell ref="A64:G64"/>
    <mergeCell ref="H39:H51"/>
    <mergeCell ref="H54:H55"/>
    <mergeCell ref="H56:H60"/>
    <mergeCell ref="A60:B60"/>
    <mergeCell ref="A54:A55"/>
    <mergeCell ref="B54:B55"/>
    <mergeCell ref="D54:D55"/>
    <mergeCell ref="A56:A59"/>
    <mergeCell ref="G54:G55"/>
    <mergeCell ref="A52:H52"/>
    <mergeCell ref="A53:H53"/>
    <mergeCell ref="A1:H1"/>
    <mergeCell ref="A2:H2"/>
    <mergeCell ref="A18:H18"/>
    <mergeCell ref="A19:H19"/>
    <mergeCell ref="A35:H35"/>
    <mergeCell ref="A34:B34"/>
    <mergeCell ref="H3:H4"/>
    <mergeCell ref="H5:H17"/>
    <mergeCell ref="H20:H21"/>
    <mergeCell ref="H22:H34"/>
    <mergeCell ref="A3:A4"/>
    <mergeCell ref="B3:B4"/>
    <mergeCell ref="D3:D4"/>
    <mergeCell ref="H37:H38"/>
    <mergeCell ref="A51:B51"/>
    <mergeCell ref="A17:B17"/>
    <mergeCell ref="A20:A21"/>
    <mergeCell ref="B20:B21"/>
    <mergeCell ref="D20:D21"/>
    <mergeCell ref="A37:A38"/>
    <mergeCell ref="B37:B38"/>
    <mergeCell ref="D37:D38"/>
    <mergeCell ref="A39:A49"/>
    <mergeCell ref="A36:H3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Công Đôn Nguyễn</cp:lastModifiedBy>
  <dcterms:created xsi:type="dcterms:W3CDTF">2024-11-23T04:19:49Z</dcterms:created>
  <dcterms:modified xsi:type="dcterms:W3CDTF">2026-05-15T06:33:24Z</dcterms:modified>
</cp:coreProperties>
</file>