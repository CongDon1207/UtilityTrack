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DCCF661-0A51-43A4-B39E-995299B3D067}" xr6:coauthVersionLast="47" xr6:coauthVersionMax="47" xr10:uidLastSave="{00000000-0000-0000-0000-000000000000}"/>
  <bookViews>
    <workbookView xWindow="-108" yWindow="-108" windowWidth="23256" windowHeight="12456" activeTab="1" xr2:uid="{95F558DD-1179-4CE2-B4F3-41C652D079DD}"/>
  </bookViews>
  <sheets>
    <sheet name="THÁNG 4.2026" sheetId="1" r:id="rId1"/>
    <sheet name="THÁNG 5.2026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3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1" i="3"/>
  <c r="E10" i="3"/>
  <c r="E9" i="3"/>
  <c r="E8" i="3"/>
  <c r="E7" i="3"/>
  <c r="E6" i="3"/>
  <c r="E5" i="3"/>
  <c r="E4" i="3"/>
  <c r="E26" i="1"/>
  <c r="E27" i="1"/>
  <c r="E28" i="1"/>
  <c r="E23" i="1"/>
  <c r="E24" i="1"/>
  <c r="E25" i="1"/>
  <c r="E22" i="1"/>
  <c r="E21" i="1"/>
  <c r="E12" i="1"/>
  <c r="E13" i="1"/>
  <c r="E14" i="1"/>
  <c r="E15" i="1"/>
  <c r="E16" i="1"/>
  <c r="E17" i="1"/>
  <c r="E18" i="1"/>
  <c r="E19" i="1"/>
  <c r="E20" i="1"/>
  <c r="E11" i="1"/>
  <c r="E10" i="1"/>
  <c r="E8" i="1"/>
  <c r="E3" i="1"/>
  <c r="E4" i="1"/>
  <c r="E5" i="1"/>
  <c r="E6" i="1"/>
  <c r="E7" i="1"/>
  <c r="E9" i="1"/>
  <c r="E26" i="3" l="1"/>
  <c r="E29" i="1"/>
</calcChain>
</file>

<file path=xl/sharedStrings.xml><?xml version="1.0" encoding="utf-8"?>
<sst xmlns="http://schemas.openxmlformats.org/spreadsheetml/2006/main" count="50" uniqueCount="19">
  <si>
    <t>ĐỔ DẦU</t>
  </si>
  <si>
    <t>Ngày</t>
  </si>
  <si>
    <t>Loại xe</t>
  </si>
  <si>
    <t>Số tiền</t>
  </si>
  <si>
    <t>7C</t>
  </si>
  <si>
    <t>3.5T</t>
  </si>
  <si>
    <t>6T HINO</t>
  </si>
  <si>
    <t>Giá</t>
  </si>
  <si>
    <t>6T ISUZU</t>
  </si>
  <si>
    <t>19C</t>
  </si>
  <si>
    <t>BÁN TẢI</t>
  </si>
  <si>
    <t>Số lít</t>
  </si>
  <si>
    <t>1.9T</t>
  </si>
  <si>
    <t>TOTAL</t>
  </si>
  <si>
    <t>Hino</t>
  </si>
  <si>
    <t>Xăng</t>
  </si>
  <si>
    <t>Bán tải</t>
  </si>
  <si>
    <t>6T Hino</t>
  </si>
  <si>
    <t>6T Isuzu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</si>
</sst>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65" fontId="2" fillId="0" borderId="1" xfId="1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" fontId="2" fillId="2" borderId="5" xfId="0" applyNumberFormat="1" applyFont="1" applyFill="1" applyBorder="1" applyAlignment="1">
      <alignment horizontal="center" vertical="center"/>
    </xf>
    <xf numFmtId="165" fontId="2" fillId="0" borderId="6" xfId="1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165" fontId="2" fillId="0" borderId="12" xfId="0" applyNumberFormat="1" applyFont="1" applyBorder="1" applyAlignment="1">
      <alignment horizontal="left" vertical="center"/>
    </xf>
    <xf numFmtId="165" fontId="2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6" xfId="1" applyNumberFormat="1" applyFont="1" applyBorder="1" applyAlignment="1">
      <alignment vertical="center"/>
    </xf>
    <xf numFmtId="16" fontId="2" fillId="2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6" fontId="2" fillId="2" borderId="7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" fontId="2" fillId="2" borderId="9" xfId="0" applyNumberFormat="1" applyFont="1" applyFill="1" applyBorder="1" applyAlignment="1">
      <alignment horizontal="center" vertical="center"/>
    </xf>
    <xf numFmtId="16" fontId="2" fillId="2" borderId="8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4E68CFC1-5175-4F3C-BE70-37BA2A849C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3A81-3304-4D48-80B7-DDEFD3A53589}">
  <dimension ref="A1:E30"/>
  <sheetViews>
    <sheetView topLeftCell="A10" workbookViewId="0">
      <selection activeCell="K28" sqref="K28"/>
    </sheetView>
  </sheetViews>
  <sheetFormatPr defaultColWidth="9.109375" defaultRowHeight="15.6" x14ac:dyDescent="0.3"/>
  <cols>
    <col min="1" max="1" width="13.44140625" style="1" customWidth="1"/>
    <col min="2" max="2" width="15.88671875" style="1" customWidth="1"/>
    <col min="3" max="3" width="14" style="1" customWidth="1"/>
    <col min="4" max="4" width="14.5546875" style="1" customWidth="1"/>
    <col min="5" max="5" width="24.5546875" style="1" customWidth="1"/>
    <col min="6" max="16384" width="9.109375" style="1"/>
  </cols>
  <sheetData>
    <row r="1" spans="1:5" ht="27" customHeight="1" thickTop="1" x14ac:dyDescent="0.3">
      <c r="A1" s="23" t="s">
        <v>0</v>
      </c>
      <c r="B1" s="24"/>
      <c r="C1" s="24"/>
      <c r="D1" s="24"/>
      <c r="E1" s="25"/>
    </row>
    <row r="2" spans="1:5" ht="21.75" customHeight="1" x14ac:dyDescent="0.3">
      <c r="A2" s="7" t="s">
        <v>1</v>
      </c>
      <c r="B2" s="6" t="s">
        <v>2</v>
      </c>
      <c r="C2" s="6" t="s">
        <v>7</v>
      </c>
      <c r="D2" s="6" t="s">
        <v>11</v>
      </c>
      <c r="E2" s="8" t="s">
        <v>3</v>
      </c>
    </row>
    <row r="3" spans="1:5" ht="21.75" customHeight="1" x14ac:dyDescent="0.3">
      <c r="A3" s="9">
        <v>46114</v>
      </c>
      <c r="B3" s="2" t="s">
        <v>8</v>
      </c>
      <c r="C3" s="3">
        <v>35440</v>
      </c>
      <c r="D3" s="4">
        <v>146.72999999999999</v>
      </c>
      <c r="E3" s="10">
        <f t="shared" ref="E3:E8" si="0">C3*D3</f>
        <v>5200111.1999999993</v>
      </c>
    </row>
    <row r="4" spans="1:5" ht="21.75" customHeight="1" x14ac:dyDescent="0.3">
      <c r="A4" s="19">
        <v>46115</v>
      </c>
      <c r="B4" s="2" t="s">
        <v>10</v>
      </c>
      <c r="C4" s="3">
        <v>40820</v>
      </c>
      <c r="D4" s="4">
        <v>49</v>
      </c>
      <c r="E4" s="10">
        <f t="shared" si="0"/>
        <v>2000180</v>
      </c>
    </row>
    <row r="5" spans="1:5" ht="21.75" customHeight="1" x14ac:dyDescent="0.3">
      <c r="A5" s="22"/>
      <c r="B5" s="2" t="s">
        <v>4</v>
      </c>
      <c r="C5" s="3">
        <v>40820</v>
      </c>
      <c r="D5" s="4">
        <v>49</v>
      </c>
      <c r="E5" s="10">
        <f t="shared" si="0"/>
        <v>2000180</v>
      </c>
    </row>
    <row r="6" spans="1:5" ht="21.75" customHeight="1" x14ac:dyDescent="0.3">
      <c r="A6" s="9">
        <v>46119</v>
      </c>
      <c r="B6" s="2" t="s">
        <v>9</v>
      </c>
      <c r="C6" s="3">
        <v>44780</v>
      </c>
      <c r="D6" s="4">
        <v>72.58</v>
      </c>
      <c r="E6" s="10">
        <f t="shared" si="0"/>
        <v>3250132.4</v>
      </c>
    </row>
    <row r="7" spans="1:5" ht="21.75" customHeight="1" x14ac:dyDescent="0.3">
      <c r="A7" s="19">
        <v>46121</v>
      </c>
      <c r="B7" s="2" t="s">
        <v>6</v>
      </c>
      <c r="C7" s="3">
        <v>42840</v>
      </c>
      <c r="D7" s="4">
        <v>126.06</v>
      </c>
      <c r="E7" s="10">
        <f t="shared" si="0"/>
        <v>5400410.4000000004</v>
      </c>
    </row>
    <row r="8" spans="1:5" ht="21.75" customHeight="1" x14ac:dyDescent="0.3">
      <c r="A8" s="22"/>
      <c r="B8" s="2" t="s">
        <v>4</v>
      </c>
      <c r="C8" s="3">
        <v>42840</v>
      </c>
      <c r="D8" s="4">
        <v>35.01</v>
      </c>
      <c r="E8" s="10">
        <f t="shared" si="0"/>
        <v>1499828.4</v>
      </c>
    </row>
    <row r="9" spans="1:5" ht="21.75" customHeight="1" x14ac:dyDescent="0.3">
      <c r="A9" s="19">
        <v>46123</v>
      </c>
      <c r="B9" s="2" t="s">
        <v>12</v>
      </c>
      <c r="C9" s="5">
        <v>32960</v>
      </c>
      <c r="D9" s="4">
        <v>50.67</v>
      </c>
      <c r="E9" s="10">
        <f>C9*D9</f>
        <v>1670083.2</v>
      </c>
    </row>
    <row r="10" spans="1:5" ht="21.75" customHeight="1" x14ac:dyDescent="0.3">
      <c r="A10" s="21"/>
      <c r="B10" s="2" t="s">
        <v>5</v>
      </c>
      <c r="C10" s="5">
        <v>32960</v>
      </c>
      <c r="D10" s="4">
        <v>30.34</v>
      </c>
      <c r="E10" s="10">
        <f>C10*D10</f>
        <v>1000006.4</v>
      </c>
    </row>
    <row r="11" spans="1:5" ht="21.75" customHeight="1" x14ac:dyDescent="0.3">
      <c r="A11" s="21"/>
      <c r="B11" s="2" t="s">
        <v>9</v>
      </c>
      <c r="C11" s="5">
        <v>32960</v>
      </c>
      <c r="D11" s="4">
        <v>68.27</v>
      </c>
      <c r="E11" s="10">
        <f>C11*D11</f>
        <v>2250179.1999999997</v>
      </c>
    </row>
    <row r="12" spans="1:5" ht="21.75" customHeight="1" x14ac:dyDescent="0.3">
      <c r="A12" s="22"/>
      <c r="B12" s="2" t="s">
        <v>10</v>
      </c>
      <c r="C12" s="5">
        <v>32960</v>
      </c>
      <c r="D12" s="4">
        <v>45.51</v>
      </c>
      <c r="E12" s="10">
        <f t="shared" ref="E12:E28" si="1">C12*D12</f>
        <v>1500009.5999999999</v>
      </c>
    </row>
    <row r="13" spans="1:5" ht="21.75" customHeight="1" x14ac:dyDescent="0.3">
      <c r="A13" s="19">
        <v>46126</v>
      </c>
      <c r="B13" s="2" t="s">
        <v>4</v>
      </c>
      <c r="C13" s="5">
        <v>32960</v>
      </c>
      <c r="D13" s="4">
        <v>45.51</v>
      </c>
      <c r="E13" s="10">
        <f t="shared" si="1"/>
        <v>1500009.5999999999</v>
      </c>
    </row>
    <row r="14" spans="1:5" ht="21.75" customHeight="1" x14ac:dyDescent="0.3">
      <c r="A14" s="21"/>
      <c r="B14" s="2" t="s">
        <v>9</v>
      </c>
      <c r="C14" s="5">
        <v>32960</v>
      </c>
      <c r="D14" s="4">
        <v>64.02</v>
      </c>
      <c r="E14" s="10">
        <f t="shared" si="1"/>
        <v>2110099.1999999997</v>
      </c>
    </row>
    <row r="15" spans="1:5" ht="21.75" customHeight="1" x14ac:dyDescent="0.3">
      <c r="A15" s="22"/>
      <c r="B15" s="2" t="s">
        <v>5</v>
      </c>
      <c r="C15" s="5">
        <v>32960</v>
      </c>
      <c r="D15" s="4">
        <v>21.24</v>
      </c>
      <c r="E15" s="10">
        <f t="shared" si="1"/>
        <v>700070.39999999991</v>
      </c>
    </row>
    <row r="16" spans="1:5" ht="21.75" customHeight="1" x14ac:dyDescent="0.3">
      <c r="A16" s="9">
        <v>46127</v>
      </c>
      <c r="B16" s="2" t="s">
        <v>8</v>
      </c>
      <c r="C16" s="5">
        <v>32960</v>
      </c>
      <c r="D16" s="4">
        <v>124.09</v>
      </c>
      <c r="E16" s="10">
        <f t="shared" si="1"/>
        <v>4090006.4</v>
      </c>
    </row>
    <row r="17" spans="1:5" ht="21.75" customHeight="1" x14ac:dyDescent="0.3">
      <c r="A17" s="9">
        <v>46128</v>
      </c>
      <c r="B17" s="2" t="s">
        <v>6</v>
      </c>
      <c r="C17" s="5">
        <v>31040</v>
      </c>
      <c r="D17" s="4">
        <v>123.07</v>
      </c>
      <c r="E17" s="10">
        <f t="shared" si="1"/>
        <v>3820092.8</v>
      </c>
    </row>
    <row r="18" spans="1:5" ht="21.75" customHeight="1" x14ac:dyDescent="0.3">
      <c r="A18" s="9">
        <v>46130</v>
      </c>
      <c r="B18" s="2" t="s">
        <v>5</v>
      </c>
      <c r="C18" s="5">
        <v>31040</v>
      </c>
      <c r="D18" s="4">
        <v>29</v>
      </c>
      <c r="E18" s="10">
        <f t="shared" si="1"/>
        <v>900160</v>
      </c>
    </row>
    <row r="19" spans="1:5" ht="21.75" customHeight="1" x14ac:dyDescent="0.3">
      <c r="A19" s="19">
        <v>46133</v>
      </c>
      <c r="B19" s="2" t="s">
        <v>5</v>
      </c>
      <c r="C19" s="5">
        <v>31040</v>
      </c>
      <c r="D19" s="4">
        <v>45.1</v>
      </c>
      <c r="E19" s="10">
        <f t="shared" si="1"/>
        <v>1399904</v>
      </c>
    </row>
    <row r="20" spans="1:5" ht="21.75" customHeight="1" x14ac:dyDescent="0.3">
      <c r="A20" s="21"/>
      <c r="B20" s="2" t="s">
        <v>4</v>
      </c>
      <c r="C20" s="5">
        <v>31040</v>
      </c>
      <c r="D20" s="4">
        <v>45.1</v>
      </c>
      <c r="E20" s="10">
        <f t="shared" si="1"/>
        <v>1399904</v>
      </c>
    </row>
    <row r="21" spans="1:5" ht="21.75" customHeight="1" x14ac:dyDescent="0.3">
      <c r="A21" s="22"/>
      <c r="B21" s="2" t="s">
        <v>9</v>
      </c>
      <c r="C21" s="5">
        <v>27850</v>
      </c>
      <c r="D21" s="4">
        <v>75.400000000000006</v>
      </c>
      <c r="E21" s="10">
        <f t="shared" si="1"/>
        <v>2099890</v>
      </c>
    </row>
    <row r="22" spans="1:5" ht="21.75" customHeight="1" x14ac:dyDescent="0.3">
      <c r="A22" s="9">
        <v>46134</v>
      </c>
      <c r="B22" s="2" t="s">
        <v>8</v>
      </c>
      <c r="C22" s="14">
        <v>27850</v>
      </c>
      <c r="D22" s="15">
        <v>129.26</v>
      </c>
      <c r="E22" s="16">
        <f t="shared" si="1"/>
        <v>3599890.9999999995</v>
      </c>
    </row>
    <row r="23" spans="1:5" ht="21.75" customHeight="1" x14ac:dyDescent="0.3">
      <c r="A23" s="19">
        <v>46135</v>
      </c>
      <c r="B23" s="2" t="s">
        <v>6</v>
      </c>
      <c r="C23" s="14">
        <v>27850</v>
      </c>
      <c r="D23" s="15">
        <v>119.21</v>
      </c>
      <c r="E23" s="16">
        <f t="shared" si="1"/>
        <v>3319998.5</v>
      </c>
    </row>
    <row r="24" spans="1:5" ht="21.75" customHeight="1" x14ac:dyDescent="0.3">
      <c r="A24" s="20"/>
      <c r="B24" s="2" t="s">
        <v>12</v>
      </c>
      <c r="C24" s="14">
        <v>27850</v>
      </c>
      <c r="D24" s="15">
        <v>11.72</v>
      </c>
      <c r="E24" s="16">
        <f t="shared" si="1"/>
        <v>326402</v>
      </c>
    </row>
    <row r="25" spans="1:5" ht="21.75" customHeight="1" x14ac:dyDescent="0.3">
      <c r="A25" s="19">
        <v>46136</v>
      </c>
      <c r="B25" s="2" t="s">
        <v>12</v>
      </c>
      <c r="C25" s="14">
        <v>26690</v>
      </c>
      <c r="D25" s="15">
        <v>63.69</v>
      </c>
      <c r="E25" s="16">
        <f t="shared" si="1"/>
        <v>1699886.0999999999</v>
      </c>
    </row>
    <row r="26" spans="1:5" ht="21.75" customHeight="1" x14ac:dyDescent="0.3">
      <c r="A26" s="21"/>
      <c r="B26" s="2" t="s">
        <v>10</v>
      </c>
      <c r="C26" s="14">
        <v>26690</v>
      </c>
      <c r="D26" s="15">
        <v>59.95</v>
      </c>
      <c r="E26" s="16">
        <f t="shared" si="1"/>
        <v>1600065.5</v>
      </c>
    </row>
    <row r="27" spans="1:5" ht="21.75" customHeight="1" x14ac:dyDescent="0.3">
      <c r="A27" s="22"/>
      <c r="B27" s="2" t="s">
        <v>9</v>
      </c>
      <c r="C27" s="14">
        <v>26690</v>
      </c>
      <c r="D27" s="15">
        <v>33.72</v>
      </c>
      <c r="E27" s="16">
        <f t="shared" si="1"/>
        <v>899986.79999999993</v>
      </c>
    </row>
    <row r="28" spans="1:5" ht="21.75" customHeight="1" x14ac:dyDescent="0.3">
      <c r="A28" s="9">
        <v>46137</v>
      </c>
      <c r="B28" s="2" t="s">
        <v>4</v>
      </c>
      <c r="C28" s="14">
        <v>26690</v>
      </c>
      <c r="D28" s="15">
        <v>52.45</v>
      </c>
      <c r="E28" s="16">
        <f t="shared" si="1"/>
        <v>1399890.5</v>
      </c>
    </row>
    <row r="29" spans="1:5" ht="21.75" customHeight="1" thickBot="1" x14ac:dyDescent="0.35">
      <c r="A29" s="11" t="s">
        <v>13</v>
      </c>
      <c r="B29" s="12"/>
      <c r="C29" s="14"/>
      <c r="D29" s="12"/>
      <c r="E29" s="13">
        <f>SUM(E3:E28)</f>
        <v>56637377.599999994</v>
      </c>
    </row>
    <row r="30" spans="1:5" ht="16.2" thickTop="1" x14ac:dyDescent="0.3"/>
  </sheetData>
  <mergeCells count="8">
    <mergeCell ref="A25:A27"/>
    <mergeCell ref="A19:A21"/>
    <mergeCell ref="A23:A24"/>
    <mergeCell ref="A1:E1"/>
    <mergeCell ref="A4:A5"/>
    <mergeCell ref="A7:A8"/>
    <mergeCell ref="A9:A12"/>
    <mergeCell ref="A13:A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9606-B8AD-4705-ABD0-142D07AF9DDD}">
  <dimension ref="A1:E27"/>
  <sheetViews>
    <sheetView tabSelected="1" workbookViewId="0">
      <selection activeCell="I9" sqref="I9"/>
    </sheetView>
  </sheetViews>
  <sheetFormatPr defaultColWidth="9.109375" defaultRowHeight="15.6" x14ac:dyDescent="0.3"/>
  <cols>
    <col min="1" max="1" width="13.44140625" style="1" customWidth="1"/>
    <col min="2" max="2" width="15.88671875" style="1" customWidth="1"/>
    <col min="3" max="3" width="14" style="1" customWidth="1"/>
    <col min="4" max="4" width="14.5546875" style="1" customWidth="1"/>
    <col min="5" max="5" width="24.5546875" style="1" customWidth="1"/>
    <col min="6" max="16384" width="9.109375" style="1"/>
  </cols>
  <sheetData>
    <row r="1" spans="1:5" ht="27" customHeight="1" thickTop="1" x14ac:dyDescent="0.3">
      <c r="A1" s="23" t="s">
        <v>0</v>
      </c>
      <c r="B1" s="24"/>
      <c r="C1" s="24"/>
      <c r="D1" s="24"/>
      <c r="E1" s="25"/>
    </row>
    <row r="2" spans="1:5" ht="21.75" customHeight="1" x14ac:dyDescent="0.3">
      <c r="A2" s="7" t="s">
        <v>1</v>
      </c>
      <c r="B2" s="6" t="s">
        <v>2</v>
      </c>
      <c r="C2" s="6" t="s">
        <v>7</v>
      </c>
      <c r="D2" s="6" t="s">
        <v>11</v>
      </c>
      <c r="E2" s="8" t="s">
        <v>3</v>
      </c>
    </row>
    <row r="3" spans="1:5" ht="21.75" customHeight="1" x14ac:dyDescent="0.3">
      <c r="A3" s="9">
        <v>46144</v>
      </c>
      <c r="B3" s="2" t="s">
        <v>9</v>
      </c>
      <c r="C3" s="5">
        <v>28170</v>
      </c>
      <c r="D3" s="18">
        <v>80</v>
      </c>
      <c r="E3" s="10">
        <f>D3*C3</f>
        <v>2253600</v>
      </c>
    </row>
    <row r="4" spans="1:5" ht="21.75" customHeight="1" x14ac:dyDescent="0.3">
      <c r="A4" s="17">
        <v>46146</v>
      </c>
      <c r="B4" s="2" t="s">
        <v>18</v>
      </c>
      <c r="C4" s="3">
        <v>28170</v>
      </c>
      <c r="D4" s="4">
        <v>92.3</v>
      </c>
      <c r="E4" s="10">
        <f t="shared" ref="E4:E7" si="0">C4*D4</f>
        <v>2600091</v>
      </c>
    </row>
    <row r="5" spans="1:5" ht="21.75" customHeight="1" x14ac:dyDescent="0.3">
      <c r="A5" s="9">
        <v>46148</v>
      </c>
      <c r="B5" s="2" t="s">
        <v>17</v>
      </c>
      <c r="C5" s="3">
        <v>28170</v>
      </c>
      <c r="D5" s="4">
        <v>122.47</v>
      </c>
      <c r="E5" s="10">
        <f t="shared" si="0"/>
        <v>3449979.9</v>
      </c>
    </row>
    <row r="6" spans="1:5" ht="21.75" customHeight="1" x14ac:dyDescent="0.3">
      <c r="A6" s="19">
        <v>46149</v>
      </c>
      <c r="B6" s="2" t="s">
        <v>16</v>
      </c>
      <c r="C6" s="3">
        <v>28170</v>
      </c>
      <c r="D6" s="4">
        <v>50.41</v>
      </c>
      <c r="E6" s="10">
        <f t="shared" si="0"/>
        <v>1420049.7</v>
      </c>
    </row>
    <row r="7" spans="1:5" ht="21.75" customHeight="1" x14ac:dyDescent="0.3">
      <c r="A7" s="22"/>
      <c r="B7" s="2" t="s">
        <v>12</v>
      </c>
      <c r="C7" s="3">
        <v>28170</v>
      </c>
      <c r="D7" s="4">
        <v>53.25</v>
      </c>
      <c r="E7" s="10">
        <f t="shared" si="0"/>
        <v>1500052.5</v>
      </c>
    </row>
    <row r="8" spans="1:5" ht="21.75" customHeight="1" x14ac:dyDescent="0.3">
      <c r="A8" s="19">
        <v>46151</v>
      </c>
      <c r="B8" s="2" t="s">
        <v>5</v>
      </c>
      <c r="C8" s="5">
        <v>27490</v>
      </c>
      <c r="D8" s="4">
        <v>43.65</v>
      </c>
      <c r="E8" s="10">
        <f>C8*D8</f>
        <v>1199938.5</v>
      </c>
    </row>
    <row r="9" spans="1:5" ht="21.75" customHeight="1" x14ac:dyDescent="0.3">
      <c r="A9" s="21"/>
      <c r="B9" s="2" t="s">
        <v>15</v>
      </c>
      <c r="C9" s="5">
        <v>24350</v>
      </c>
      <c r="D9" s="4">
        <v>12.32</v>
      </c>
      <c r="E9" s="10">
        <f>C9*D9</f>
        <v>299992</v>
      </c>
    </row>
    <row r="10" spans="1:5" ht="21.75" customHeight="1" x14ac:dyDescent="0.3">
      <c r="A10" s="21"/>
      <c r="B10" s="2" t="s">
        <v>9</v>
      </c>
      <c r="C10" s="5">
        <v>27490</v>
      </c>
      <c r="D10" s="4">
        <v>78.569999999999993</v>
      </c>
      <c r="E10" s="10">
        <f>C10*D10</f>
        <v>2159889.2999999998</v>
      </c>
    </row>
    <row r="11" spans="1:5" ht="21.75" customHeight="1" x14ac:dyDescent="0.3">
      <c r="A11" s="19">
        <v>46153</v>
      </c>
      <c r="B11" s="2" t="s">
        <v>14</v>
      </c>
      <c r="C11" s="5">
        <v>27490</v>
      </c>
      <c r="D11" s="4">
        <v>82.94</v>
      </c>
      <c r="E11" s="10">
        <f t="shared" ref="E11:E25" si="1">C11*D11</f>
        <v>2280020.6</v>
      </c>
    </row>
    <row r="12" spans="1:5" ht="21.75" customHeight="1" x14ac:dyDescent="0.3">
      <c r="A12" s="21"/>
      <c r="B12" s="2" t="s">
        <v>4</v>
      </c>
      <c r="C12" s="5">
        <v>27490</v>
      </c>
      <c r="D12" s="4">
        <v>54.57</v>
      </c>
      <c r="E12" s="10">
        <f t="shared" si="1"/>
        <v>1500129.3</v>
      </c>
    </row>
    <row r="13" spans="1:5" ht="21.75" customHeight="1" x14ac:dyDescent="0.3">
      <c r="A13" s="9"/>
      <c r="B13" s="2"/>
      <c r="C13" s="5"/>
      <c r="D13" s="4"/>
      <c r="E13" s="10">
        <f t="shared" si="1"/>
        <v>0</v>
      </c>
    </row>
    <row r="14" spans="1:5" ht="21.75" customHeight="1" x14ac:dyDescent="0.3">
      <c r="A14" s="9"/>
      <c r="B14" s="2"/>
      <c r="C14" s="5"/>
      <c r="D14" s="4"/>
      <c r="E14" s="10">
        <f t="shared" si="1"/>
        <v>0</v>
      </c>
    </row>
    <row r="15" spans="1:5" ht="21.75" customHeight="1" x14ac:dyDescent="0.3">
      <c r="A15" s="9"/>
      <c r="B15" s="2"/>
      <c r="C15" s="5"/>
      <c r="D15" s="4"/>
      <c r="E15" s="10">
        <f t="shared" si="1"/>
        <v>0</v>
      </c>
    </row>
    <row r="16" spans="1:5" ht="21.75" customHeight="1" x14ac:dyDescent="0.3">
      <c r="A16" s="19"/>
      <c r="B16" s="2"/>
      <c r="C16" s="5"/>
      <c r="D16" s="4"/>
      <c r="E16" s="10">
        <f t="shared" si="1"/>
        <v>0</v>
      </c>
    </row>
    <row r="17" spans="1:5" ht="21.75" customHeight="1" x14ac:dyDescent="0.3">
      <c r="A17" s="21"/>
      <c r="B17" s="2"/>
      <c r="C17" s="5"/>
      <c r="D17" s="4"/>
      <c r="E17" s="10">
        <f t="shared" si="1"/>
        <v>0</v>
      </c>
    </row>
    <row r="18" spans="1:5" ht="21.75" customHeight="1" x14ac:dyDescent="0.3">
      <c r="A18" s="22"/>
      <c r="B18" s="2"/>
      <c r="C18" s="5"/>
      <c r="D18" s="4"/>
      <c r="E18" s="10">
        <f t="shared" si="1"/>
        <v>0</v>
      </c>
    </row>
    <row r="19" spans="1:5" ht="21.75" customHeight="1" x14ac:dyDescent="0.3">
      <c r="A19" s="9"/>
      <c r="B19" s="2"/>
      <c r="C19" s="14"/>
      <c r="D19" s="15"/>
      <c r="E19" s="16">
        <f t="shared" si="1"/>
        <v>0</v>
      </c>
    </row>
    <row r="20" spans="1:5" ht="21.75" customHeight="1" x14ac:dyDescent="0.3">
      <c r="A20" s="19"/>
      <c r="B20" s="2"/>
      <c r="C20" s="14"/>
      <c r="D20" s="15"/>
      <c r="E20" s="16">
        <f t="shared" si="1"/>
        <v>0</v>
      </c>
    </row>
    <row r="21" spans="1:5" ht="21.75" customHeight="1" x14ac:dyDescent="0.3">
      <c r="A21" s="20"/>
      <c r="B21" s="2"/>
      <c r="C21" s="14"/>
      <c r="D21" s="15"/>
      <c r="E21" s="16">
        <f t="shared" si="1"/>
        <v>0</v>
      </c>
    </row>
    <row r="22" spans="1:5" ht="21.75" customHeight="1" x14ac:dyDescent="0.3">
      <c r="A22" s="19"/>
      <c r="B22" s="2"/>
      <c r="C22" s="14"/>
      <c r="D22" s="15"/>
      <c r="E22" s="16">
        <f t="shared" si="1"/>
        <v>0</v>
      </c>
    </row>
    <row r="23" spans="1:5" ht="21.75" customHeight="1" x14ac:dyDescent="0.3">
      <c r="A23" s="21"/>
      <c r="B23" s="2"/>
      <c r="C23" s="14"/>
      <c r="D23" s="15"/>
      <c r="E23" s="16">
        <f t="shared" si="1"/>
        <v>0</v>
      </c>
    </row>
    <row r="24" spans="1:5" ht="21.75" customHeight="1" x14ac:dyDescent="0.3">
      <c r="A24" s="22"/>
      <c r="B24" s="2"/>
      <c r="C24" s="14"/>
      <c r="D24" s="15"/>
      <c r="E24" s="16">
        <f t="shared" si="1"/>
        <v>0</v>
      </c>
    </row>
    <row r="25" spans="1:5" ht="21.75" customHeight="1" x14ac:dyDescent="0.3">
      <c r="A25" s="9"/>
      <c r="B25" s="2"/>
      <c r="C25" s="14"/>
      <c r="D25" s="15"/>
      <c r="E25" s="16">
        <f t="shared" si="1"/>
        <v>0</v>
      </c>
    </row>
    <row r="26" spans="1:5" ht="21.75" customHeight="1" thickBot="1" x14ac:dyDescent="0.35">
      <c r="A26" s="11" t="s">
        <v>13</v>
      </c>
      <c r="B26" s="12"/>
      <c r="C26" s="14"/>
      <c r="D26" s="12"/>
      <c r="E26" s="13">
        <f>SUM(E3:E25)</f>
        <v>18663742.800000001</v>
      </c>
    </row>
    <row r="27" spans="1:5" ht="16.2" thickTop="1" x14ac:dyDescent="0.3"/>
  </sheetData>
  <mergeCells count="7">
    <mergeCell ref="A20:A21"/>
    <mergeCell ref="A22:A24"/>
    <mergeCell ref="A1:E1"/>
    <mergeCell ref="A6:A7"/>
    <mergeCell ref="A8:A10"/>
    <mergeCell ref="A11:A12"/>
    <mergeCell ref="A16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THÁNG 4.2026</vt:lpstr>
      <vt:lpstr>THÁNG 5.2026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Công Đôn Nguyễn</cp:lastModifiedBy>
  <dcterms:created xsi:type="dcterms:W3CDTF">2026-04-21T03:50:27Z</dcterms:created>
  <dcterms:modified xsi:type="dcterms:W3CDTF">2026-05-15T04:07:47Z</dcterms:modified>
</cp:coreProperties>
</file>